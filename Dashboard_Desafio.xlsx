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CBB74BF-E304-4C19-8FBA-54A82E8D7452}" xr6:coauthVersionLast="47" xr6:coauthVersionMax="47" xr10:uidLastSave="{00000000-0000-0000-0000-000000000000}"/>
  <bookViews>
    <workbookView xWindow="-120" yWindow="-120" windowWidth="20730" windowHeight="11160" tabRatio="6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Plan">#N/A</definedName>
    <definedName name="SegmentaçãodeDados_Subscription_Type">#N/A</definedName>
  </definedNames>
  <calcPr calcId="191029"/>
  <pivotCaches>
    <pivotCache cacheId="7" r:id="rId5"/>
  </pivotCaches>
  <fileRecoveryPr repairLoad="1"/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3" l="1"/>
  <c r="F25" i="3"/>
</calcChain>
</file>

<file path=xl/sharedStrings.xml><?xml version="1.0" encoding="utf-8"?>
<sst xmlns="http://schemas.openxmlformats.org/spreadsheetml/2006/main" count="2038" uniqueCount="335">
  <si>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</si>
  <si>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</si>
  <si>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</si>
  <si>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</si>
  <si>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</si>
  <si>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</si>
  <si>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</si>
  <si>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</si>
  <si>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</si>
  <si>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</si>
  <si>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</si>
  <si>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</si>
  <si>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</si>
  <si>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</si>
  <si>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</si>
  <si>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</si>
  <si>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</si>
  <si>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</si>
  <si>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</si>
  <si>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</si>
  <si>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</si>
  <si>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</si>
  <si>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</si>
  <si>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</si>
  <si>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</si>
  <si>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</si>
  <si>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</si>
  <si>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</si>
  <si>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</si>
  <si>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</si>
  <si>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</si>
  <si>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</si>
  <si>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</si>
  <si>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</si>
  <si>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</si>
  <si>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</si>
  <si>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</si>
  <si>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</si>
  <si>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</si>
  <si>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</si>
  <si>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</si>
  <si>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</si>
  <si>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</si>
  <si>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</si>
  <si>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</si>
  <si>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</si>
  <si>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</si>
  <si>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</si>
  <si>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</si>
  <si>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</si>
  <si>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</si>
  <si>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</si>
  <si>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</si>
  <si>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</si>
  <si>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</si>
  <si>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</si>
  <si>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</si>
  <si>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</si>
  <si>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</si>
  <si>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</si>
  <si>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</si>
  <si>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</si>
  <si>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</si>
  <si>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</si>
  <si>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</si>
  <si>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</si>
  <si>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</si>
  <si>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</si>
  <si>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</si>
  <si>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</si>
  <si>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</si>
  <si>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</si>
  <si>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</si>
  <si>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</si>
  <si>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</si>
  <si>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</si>
  <si>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</si>
  <si>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</si>
  <si>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</si>
  <si>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</si>
  <si>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</si>
  <si>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</si>
  <si>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</si>
  <si>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</si>
  <si>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</si>
  <si>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</si>
  <si>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</si>
  <si>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</si>
  <si>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</si>
  <si>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</si>
  <si>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</si>
  <si>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</si>
  <si>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</si>
  <si>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</si>
  <si>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</si>
  <si>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</si>
  <si>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</si>
  <si>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</si>
  <si>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</si>
  <si>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</si>
  <si>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</si>
  <si>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</si>
  <si>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</si>
  <si>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</si>
  <si>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</si>
  <si>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</si>
  <si>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</si>
  <si>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</si>
  <si>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</si>
  <si>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</si>
  <si>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</si>
  <si>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</si>
  <si>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</si>
  <si>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</si>
  <si>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</si>
  <si>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</si>
  <si>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</si>
  <si>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</si>
  <si>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</si>
  <si>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</si>
  <si>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</si>
  <si>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</si>
  <si>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</si>
  <si>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</si>
  <si>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</si>
  <si>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</si>
  <si>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</si>
  <si>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</si>
  <si>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</si>
  <si>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</si>
  <si>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</si>
  <si>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</si>
  <si>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</si>
  <si>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</si>
  <si>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</si>
  <si>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</si>
  <si>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</si>
  <si>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</si>
  <si>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</si>
  <si>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</si>
  <si>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</si>
  <si>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</si>
  <si>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</si>
  <si>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</si>
  <si>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</si>
  <si>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</si>
  <si>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</si>
  <si>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</si>
  <si>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</si>
  <si>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</si>
  <si>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</si>
  <si>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</si>
  <si>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</si>
  <si>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</si>
  <si>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</si>
  <si>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</si>
  <si>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</si>
  <si>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</si>
  <si>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</si>
  <si>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</si>
  <si>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</si>
  <si>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</si>
  <si>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</si>
  <si>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</si>
  <si>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</si>
  <si>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</si>
  <si>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</si>
  <si>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</si>
  <si>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</si>
  <si>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</si>
  <si>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</si>
  <si>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</si>
  <si>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</si>
  <si>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</si>
  <si>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</si>
  <si>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</si>
  <si>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</si>
  <si>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</si>
  <si>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</si>
  <si>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</si>
  <si>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</si>
  <si>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</si>
  <si>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</si>
  <si>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</si>
  <si>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</si>
  <si>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</si>
  <si>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</si>
  <si>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</si>
  <si>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</si>
  <si>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</si>
  <si>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</si>
  <si>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</si>
  <si>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</si>
  <si>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</si>
  <si>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</si>
  <si>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</si>
  <si>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</si>
  <si>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</si>
  <si>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</si>
  <si>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</si>
  <si>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</si>
  <si>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</si>
  <si>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</si>
  <si>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</si>
  <si>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</si>
  <si>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</si>
  <si>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</si>
  <si>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</si>
  <si>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</si>
  <si>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</si>
  <si>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</si>
  <si>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</si>
  <si>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</si>
  <si>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</si>
  <si>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</si>
  <si>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</si>
  <si>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</si>
  <si>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</si>
  <si>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</si>
  <si>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</si>
  <si>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</si>
  <si>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</si>
  <si>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</si>
  <si>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</si>
  <si>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</si>
  <si>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</si>
  <si>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</si>
  <si>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</si>
  <si>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</si>
  <si>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</si>
  <si>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</si>
  <si>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</si>
  <si>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</si>
  <si>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</si>
  <si>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</si>
  <si>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</si>
  <si>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</si>
  <si>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</si>
  <si>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</si>
  <si>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</si>
  <si>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</si>
  <si>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</si>
  <si>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</si>
  <si>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</si>
  <si>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</si>
  <si>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</si>
  <si>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</si>
  <si>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</si>
  <si>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</si>
  <si>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</si>
  <si>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</si>
  <si>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</si>
  <si>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</si>
  <si>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</si>
  <si>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</si>
  <si>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</si>
  <si>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</si>
  <si>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</si>
  <si>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</si>
  <si>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</si>
  <si>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</si>
  <si>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</si>
  <si>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</si>
  <si>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</si>
  <si>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</si>
  <si>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</si>
  <si>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</si>
  <si>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</si>
  <si>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</si>
  <si>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</si>
  <si>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</si>
  <si>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</si>
  <si>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</si>
  <si>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</si>
  <si>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</si>
  <si>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</si>
  <si>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</si>
  <si>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</si>
  <si>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</si>
  <si>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</si>
  <si>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</si>
  <si>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</si>
  <si>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</si>
  <si>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</si>
  <si>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</si>
  <si>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</si>
  <si>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</si>
  <si>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</si>
  <si>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</si>
  <si>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</si>
  <si>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</si>
  <si>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</si>
  <si>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</si>
  <si>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</si>
  <si>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</si>
  <si>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</si>
  <si>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</si>
  <si>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</si>
  <si>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</si>
  <si>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</si>
  <si>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</si>
  <si>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</si>
  <si>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</si>
  <si>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</si>
  <si>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</si>
  <si>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</si>
  <si>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</si>
  <si>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</si>
  <si>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</si>
  <si>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</si>
  <si>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</si>
  <si>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</si>
  <si>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</si>
  <si>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Geral</t>
  </si>
  <si>
    <t>Soma de Total Value</t>
  </si>
  <si>
    <t>XBOX GAME PASS SUBSCRIPTIONS SALES</t>
  </si>
  <si>
    <t>Rótulos de Linha</t>
  </si>
  <si>
    <t>Soma de EA Play Season Pass</t>
  </si>
  <si>
    <t>Soma de Minecraft Season Pass Price</t>
  </si>
  <si>
    <t>&gt; Bem-vindo, Davi</t>
  </si>
  <si>
    <t>Dados de 01/01/2024 até 31/12/2024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</si>
  <si>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</si>
  <si>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</si>
  <si>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</si>
  <si>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</si>
  <si>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</si>
  <si>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</si>
  <si>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</si>
  <si>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</si>
  <si>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</si>
  <si>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</si>
  <si>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Rótulos de Coluna</t>
  </si>
  <si>
    <t>jan</t>
  </si>
  <si>
    <t>fev</t>
  </si>
  <si>
    <t>Monthly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</si>
</sst>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b/>
      <sz val="15"/>
      <color rgb="FF5BF6A8"/>
      <name val="Aptos Narrow"/>
      <family val="2"/>
      <scheme val="minor"/>
    </font>
    <font>
      <b/>
      <sz val="15"/>
      <color rgb="FF5BF6A8"/>
      <name val="Segoe IA"/>
    </font>
    <font>
      <b/>
      <sz val="12"/>
      <color theme="1"/>
      <name val="Segoe IA"/>
    </font>
    <font>
      <sz val="14"/>
      <color theme="2" tint="-0.499984740745262"/>
      <name val="Segoe IA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2" applyFont="1"/>
    <xf numFmtId="0" fontId="4" fillId="0" borderId="2" xfId="1" applyFont="1" applyBorder="1"/>
    <xf numFmtId="0" fontId="5" fillId="0" borderId="2" xfId="1" applyFont="1" applyBorder="1" applyAlignment="1">
      <alignment horizontal="left" indent="5"/>
    </xf>
    <xf numFmtId="0" fontId="6" fillId="0" borderId="2" xfId="1" applyFont="1" applyBorder="1" applyAlignment="1">
      <alignment horizontal="left" indent="6"/>
    </xf>
    <xf numFmtId="0" fontId="7" fillId="5" borderId="0" xfId="0" applyFont="1" applyFill="1" applyAlignment="1">
      <alignment horizontal="left" indent="2"/>
    </xf>
    <xf numFmtId="0" fontId="8" fillId="7" borderId="0" xfId="0" applyFont="1" applyFill="1"/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AE6B1"/>
        </patternFill>
      </fill>
      <border diagonalUp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B33DAC8B-5D5C-42CB-B617-EFD7ABB2CA37}">
      <tableStyleElement type="wholeTable" dxfId="15"/>
      <tableStyleElement type="headerRow" dxfId="14"/>
    </tableStyle>
  </tableStyles>
  <colors>
    <mruColors>
      <color rgb="FF30CA06"/>
      <color rgb="FF5BF6A8"/>
      <color rgb="FF2AE6B1"/>
      <color rgb="FF056B07"/>
      <color rgb="FF22C55E"/>
      <color rgb="FFE8E6E9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[Dashboard_Desafio.xlsx]C̳álculos!tbl_annual</c:name>
    <c:fmtId val="0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C̳álculos!$E$10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multiLvlStrRef>
              <c:f>C̳álculos!$C$11:$D$14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Monthly</c:v>
                  </c:pt>
                </c:lvl>
              </c:multiLvlStrCache>
            </c:multiLvlStrRef>
          </c:cat>
          <c:val>
            <c:numRef>
              <c:f>C̳álculos!$E$11:$E$14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6-46D0-9A3F-7A873416B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4648032"/>
        <c:axId val="354647552"/>
      </c:barChart>
      <c:catAx>
        <c:axId val="354648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4647552"/>
        <c:crosses val="autoZero"/>
        <c:auto val="1"/>
        <c:lblAlgn val="ctr"/>
        <c:lblOffset val="100"/>
        <c:noMultiLvlLbl val="0"/>
      </c:catAx>
      <c:valAx>
        <c:axId val="35464755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5464803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[Dashboard_Desafio.xlsx]C̳álculos!Tabela dinâmica1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0CA0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C̳álculos!$D$41:$D$42</c:f>
              <c:strCache>
                <c:ptCount val="1"/>
                <c:pt idx="0">
                  <c:v>Ultimate</c:v>
                </c:pt>
              </c:strCache>
            </c:strRef>
          </c:tx>
          <c:spPr>
            <a:solidFill>
              <a:srgbClr val="30CA0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C̳álculos!$C$43:$C$55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C̳álculos!$D$43:$D$55</c:f>
              <c:numCache>
                <c:formatCode>_("R$"* #,##0.00_);_("R$"* \(#,##0.00\);_("R$"* "-"??_);_(@_)</c:formatCode>
                <c:ptCount val="12"/>
                <c:pt idx="0">
                  <c:v>60</c:v>
                </c:pt>
                <c:pt idx="1">
                  <c:v>62</c:v>
                </c:pt>
                <c:pt idx="2">
                  <c:v>301</c:v>
                </c:pt>
                <c:pt idx="3">
                  <c:v>217</c:v>
                </c:pt>
                <c:pt idx="4">
                  <c:v>217</c:v>
                </c:pt>
                <c:pt idx="5">
                  <c:v>265</c:v>
                </c:pt>
                <c:pt idx="6">
                  <c:v>207</c:v>
                </c:pt>
                <c:pt idx="7">
                  <c:v>207</c:v>
                </c:pt>
                <c:pt idx="8">
                  <c:v>207</c:v>
                </c:pt>
                <c:pt idx="9">
                  <c:v>314</c:v>
                </c:pt>
                <c:pt idx="10">
                  <c:v>207</c:v>
                </c:pt>
                <c:pt idx="11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C-478C-B7F0-0D3CAA6A2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336528"/>
        <c:axId val="212328368"/>
      </c:barChart>
      <c:catAx>
        <c:axId val="21233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328368"/>
        <c:crosses val="autoZero"/>
        <c:auto val="1"/>
        <c:lblAlgn val="ctr"/>
        <c:lblOffset val="100"/>
        <c:noMultiLvlLbl val="0"/>
      </c:catAx>
      <c:valAx>
        <c:axId val="21232836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233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[Dashboard_Desafio.xlsx]C̳álculos!tbl_annual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924611681432567E-2"/>
          <c:y val="9.6201516477107021E-2"/>
          <c:w val="0.9388561490635724"/>
          <c:h val="0.806576261300670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C̳álculos!$E$10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C̳álculos!$C$11:$D$14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Monthly</c:v>
                  </c:pt>
                </c:lvl>
              </c:multiLvlStrCache>
            </c:multiLvlStrRef>
          </c:cat>
          <c:val>
            <c:numRef>
              <c:f>C̳álculos!$E$11:$E$14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B-4031-9E82-77D4650E6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4648032"/>
        <c:axId val="354647552"/>
      </c:barChart>
      <c:catAx>
        <c:axId val="354648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4647552"/>
        <c:crosses val="autoZero"/>
        <c:auto val="1"/>
        <c:lblAlgn val="ctr"/>
        <c:lblOffset val="100"/>
        <c:noMultiLvlLbl val="0"/>
      </c:catAx>
      <c:valAx>
        <c:axId val="35464755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35464803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[Dashboard_Desafio.xlsx]C̳álculos!Tabela dinâmica1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56B0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0CA0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56B0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56B0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0CA0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C̳álculos!$D$41:$D$42</c:f>
              <c:strCache>
                <c:ptCount val="1"/>
                <c:pt idx="0">
                  <c:v>Ultimate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C̳álculos!$C$43:$C$55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C̳álculos!$D$43:$D$55</c:f>
              <c:numCache>
                <c:formatCode>_("R$"* #,##0.00_);_("R$"* \(#,##0.00\);_("R$"* "-"??_);_(@_)</c:formatCode>
                <c:ptCount val="12"/>
                <c:pt idx="0">
                  <c:v>60</c:v>
                </c:pt>
                <c:pt idx="1">
                  <c:v>62</c:v>
                </c:pt>
                <c:pt idx="2">
                  <c:v>301</c:v>
                </c:pt>
                <c:pt idx="3">
                  <c:v>217</c:v>
                </c:pt>
                <c:pt idx="4">
                  <c:v>217</c:v>
                </c:pt>
                <c:pt idx="5">
                  <c:v>265</c:v>
                </c:pt>
                <c:pt idx="6">
                  <c:v>207</c:v>
                </c:pt>
                <c:pt idx="7">
                  <c:v>207</c:v>
                </c:pt>
                <c:pt idx="8">
                  <c:v>207</c:v>
                </c:pt>
                <c:pt idx="9">
                  <c:v>314</c:v>
                </c:pt>
                <c:pt idx="10">
                  <c:v>207</c:v>
                </c:pt>
                <c:pt idx="11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2-4EC8-9CA5-ED3AB89C2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336528"/>
        <c:axId val="212328368"/>
      </c:barChart>
      <c:catAx>
        <c:axId val="21233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328368"/>
        <c:crosses val="autoZero"/>
        <c:auto val="1"/>
        <c:lblAlgn val="ctr"/>
        <c:lblOffset val="100"/>
        <c:noMultiLvlLbl val="0"/>
      </c:catAx>
      <c:valAx>
        <c:axId val="21232836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233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chart" Target="../charts/chart3.xml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15</xdr:row>
      <xdr:rowOff>47625</xdr:rowOff>
    </xdr:from>
    <xdr:to>
      <xdr:col>5</xdr:col>
      <xdr:colOff>352425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466725</xdr:colOff>
      <xdr:row>5</xdr:row>
      <xdr:rowOff>176212</xdr:rowOff>
    </xdr:from>
    <xdr:to>
      <xdr:col>9</xdr:col>
      <xdr:colOff>142875</xdr:colOff>
      <xdr:row>20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8E3EA6-92B9-5BFF-36E9-FEABFA3C0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638175</xdr:colOff>
      <xdr:row>5</xdr:row>
      <xdr:rowOff>142875</xdr:rowOff>
    </xdr:from>
    <xdr:to>
      <xdr:col>12</xdr:col>
      <xdr:colOff>314325</xdr:colOff>
      <xdr:row>19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78FC1567-CA3B-354C-5EE8-6088358889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53925" y="1095375"/>
              <a:ext cx="1819275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8</xdr:col>
      <xdr:colOff>599514</xdr:colOff>
      <xdr:row>39</xdr:row>
      <xdr:rowOff>174811</xdr:rowOff>
    </xdr:from>
    <xdr:to>
      <xdr:col>31</xdr:col>
      <xdr:colOff>95248</xdr:colOff>
      <xdr:row>67</xdr:row>
      <xdr:rowOff>23812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C000AE6-CBB6-C1C9-2A57-662FA78D0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195262</xdr:colOff>
      <xdr:row>24</xdr:row>
      <xdr:rowOff>114300</xdr:rowOff>
    </xdr:from>
    <xdr:to>
      <xdr:col>22</xdr:col>
      <xdr:colOff>309562</xdr:colOff>
      <xdr:row>38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lan">
              <a:extLst>
                <a:ext uri="{FF2B5EF4-FFF2-40B4-BE49-F238E27FC236}">
                  <a16:creationId xmlns:a16="http://schemas.microsoft.com/office/drawing/2014/main" id="{A0106198-D32C-8483-142D-9D107D8FF7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31200" y="46863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221035</xdr:colOff>
      <xdr:row>1</xdr:row>
      <xdr:rowOff>8641</xdr:rowOff>
    </xdr:from>
    <xdr:to>
      <xdr:col>2</xdr:col>
      <xdr:colOff>483165</xdr:colOff>
      <xdr:row>1</xdr:row>
      <xdr:rowOff>478039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ABAF715-92B7-466F-985D-B0DEC171E7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1013" r="68110"/>
        <a:stretch>
          <a:fillRect/>
        </a:stretch>
      </xdr:blipFill>
      <xdr:spPr>
        <a:xfrm>
          <a:off x="2366231" y="199141"/>
          <a:ext cx="502325" cy="469398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134470</xdr:colOff>
      <xdr:row>10</xdr:row>
      <xdr:rowOff>76403</xdr:rowOff>
    </xdr:from>
    <xdr:to>
      <xdr:col>0</xdr:col>
      <xdr:colOff>1963270</xdr:colOff>
      <xdr:row>24</xdr:row>
      <xdr:rowOff>77422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Subscription Type 1">
              <a:extLst>
                <a:ext uri="{FF2B5EF4-FFF2-40B4-BE49-F238E27FC236}">
                  <a16:creationId xmlns:a16="http://schemas.microsoft.com/office/drawing/2014/main" id="{D2E202C5-9C62-4E27-A632-9C470BDAFF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470" y="2241176"/>
              <a:ext cx="1828800" cy="26680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123264</xdr:colOff>
      <xdr:row>4</xdr:row>
      <xdr:rowOff>129710</xdr:rowOff>
    </xdr:from>
    <xdr:to>
      <xdr:col>12</xdr:col>
      <xdr:colOff>595311</xdr:colOff>
      <xdr:row>17</xdr:row>
      <xdr:rowOff>23813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2C1238FC-56E5-1CE1-FC0F-406DB07AFF12}"/>
            </a:ext>
          </a:extLst>
        </xdr:cNvPr>
        <xdr:cNvGrpSpPr/>
      </xdr:nvGrpSpPr>
      <xdr:grpSpPr>
        <a:xfrm>
          <a:off x="2504514" y="1010773"/>
          <a:ext cx="6472797" cy="2489665"/>
          <a:chOff x="2420471" y="1205755"/>
          <a:chExt cx="5188325" cy="1618128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E6B6E1AF-209A-85AB-D902-46FFA154E9DB}"/>
              </a:ext>
            </a:extLst>
          </xdr:cNvPr>
          <xdr:cNvSpPr/>
        </xdr:nvSpPr>
        <xdr:spPr>
          <a:xfrm>
            <a:off x="2420473" y="1221442"/>
            <a:ext cx="5188323" cy="1456764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5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8A512302-91D1-4333-90C7-2A9E770B2ED0}"/>
              </a:ext>
            </a:extLst>
          </xdr:cNvPr>
          <xdr:cNvSpPr/>
        </xdr:nvSpPr>
        <xdr:spPr>
          <a:xfrm>
            <a:off x="4029637" y="1452285"/>
            <a:ext cx="3153333" cy="1125069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150507E-E057-4775-8422-6DD9437B162A}" type="TxLink">
              <a:rPr lang="en-US" sz="4400" b="0" i="0" u="none" strike="noStrike" cap="none" spc="0">
                <a:ln w="0"/>
                <a:solidFill>
                  <a:srgbClr val="22C55E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 Narrow"/>
              </a:rPr>
              <a:pPr algn="ctr"/>
              <a:t> R$ 1.350,00 </a:t>
            </a:fld>
            <a:endParaRPr lang="pt-BR" sz="4400" b="0" cap="none" spc="0">
              <a:ln w="0"/>
              <a:solidFill>
                <a:srgbClr val="22C55E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pic>
        <xdr:nvPicPr>
          <xdr:cNvPr id="7" name="Imagem 6">
            <a:extLst>
              <a:ext uri="{FF2B5EF4-FFF2-40B4-BE49-F238E27FC236}">
                <a16:creationId xmlns:a16="http://schemas.microsoft.com/office/drawing/2014/main" id="{683E3E6E-DCD8-4364-BFE8-006A801177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83226" y="1205755"/>
            <a:ext cx="1618128" cy="1618128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C422F85E-5D85-564C-323E-855E4DC76E02}"/>
              </a:ext>
            </a:extLst>
          </xdr:cNvPr>
          <xdr:cNvSpPr/>
        </xdr:nvSpPr>
        <xdr:spPr>
          <a:xfrm>
            <a:off x="2420471" y="1210235"/>
            <a:ext cx="5188323" cy="358589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 EA PLAY SEASON PASS</a:t>
            </a:r>
          </a:p>
        </xdr:txBody>
      </xdr:sp>
    </xdr:grpSp>
    <xdr:clientData/>
  </xdr:twoCellAnchor>
  <xdr:twoCellAnchor>
    <xdr:from>
      <xdr:col>1</xdr:col>
      <xdr:colOff>135871</xdr:colOff>
      <xdr:row>19</xdr:row>
      <xdr:rowOff>54351</xdr:rowOff>
    </xdr:from>
    <xdr:to>
      <xdr:col>29</xdr:col>
      <xdr:colOff>309562</xdr:colOff>
      <xdr:row>35</xdr:row>
      <xdr:rowOff>2801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C497E22E-EA1B-928C-F5E3-8333EABC44CD}"/>
            </a:ext>
          </a:extLst>
        </xdr:cNvPr>
        <xdr:cNvGrpSpPr/>
      </xdr:nvGrpSpPr>
      <xdr:grpSpPr>
        <a:xfrm>
          <a:off x="2278996" y="3911976"/>
          <a:ext cx="16937691" cy="2996450"/>
          <a:chOff x="2487706" y="2897844"/>
          <a:chExt cx="10219766" cy="2996450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B7CF97AD-5615-9433-CE31-44CB7F609E91}"/>
              </a:ext>
            </a:extLst>
          </xdr:cNvPr>
          <xdr:cNvGrpSpPr/>
        </xdr:nvGrpSpPr>
        <xdr:grpSpPr>
          <a:xfrm>
            <a:off x="2487706" y="2913529"/>
            <a:ext cx="10219765" cy="2980765"/>
            <a:chOff x="4078941" y="1299881"/>
            <a:chExt cx="5076265" cy="2980765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3CA36CA0-C5BA-104F-F14A-BF15733ACD6E}"/>
                </a:ext>
              </a:extLst>
            </xdr:cNvPr>
            <xdr:cNvSpPr/>
          </xdr:nvSpPr>
          <xdr:spPr>
            <a:xfrm>
              <a:off x="4078941" y="1299881"/>
              <a:ext cx="5076265" cy="2980765"/>
            </a:xfrm>
            <a:prstGeom prst="round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/>
                <a:t> </a:t>
              </a:r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1FF1B46A-7663-4BC7-9E40-4449804EA9E8}"/>
                </a:ext>
              </a:extLst>
            </xdr:cNvPr>
            <xdr:cNvGraphicFramePr>
              <a:graphicFrameLocks/>
            </xdr:cNvGraphicFramePr>
          </xdr:nvGraphicFramePr>
          <xdr:xfrm>
            <a:off x="4325469" y="1423147"/>
            <a:ext cx="4713265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37DF3340-6F01-44D7-B90C-243F942F619E}"/>
              </a:ext>
            </a:extLst>
          </xdr:cNvPr>
          <xdr:cNvSpPr/>
        </xdr:nvSpPr>
        <xdr:spPr>
          <a:xfrm>
            <a:off x="2487708" y="2897844"/>
            <a:ext cx="10219764" cy="519950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 XBOX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19</xdr:col>
      <xdr:colOff>47625</xdr:colOff>
      <xdr:row>4</xdr:row>
      <xdr:rowOff>129710</xdr:rowOff>
    </xdr:from>
    <xdr:to>
      <xdr:col>29</xdr:col>
      <xdr:colOff>298359</xdr:colOff>
      <xdr:row>16</xdr:row>
      <xdr:rowOff>152400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6161A293-1E1A-3D9B-F902-447E73D25EC1}"/>
            </a:ext>
          </a:extLst>
        </xdr:cNvPr>
        <xdr:cNvGrpSpPr/>
      </xdr:nvGrpSpPr>
      <xdr:grpSpPr>
        <a:xfrm>
          <a:off x="12763500" y="1010773"/>
          <a:ext cx="6441984" cy="2427752"/>
          <a:chOff x="8052547" y="1093694"/>
          <a:chExt cx="5188325" cy="1467971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357036F2-A364-045B-9548-1A04DBAAE59F}"/>
              </a:ext>
            </a:extLst>
          </xdr:cNvPr>
          <xdr:cNvSpPr/>
        </xdr:nvSpPr>
        <xdr:spPr>
          <a:xfrm>
            <a:off x="8052549" y="1104901"/>
            <a:ext cx="5188323" cy="1456764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4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C72DBC25-65C9-5D88-6149-30B48681D1A4}"/>
              </a:ext>
            </a:extLst>
          </xdr:cNvPr>
          <xdr:cNvSpPr/>
        </xdr:nvSpPr>
        <xdr:spPr>
          <a:xfrm>
            <a:off x="9661713" y="1335744"/>
            <a:ext cx="3153333" cy="1125069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E3DF23F-B70E-419D-8FBA-0FCFBDBFBA52}" type="TxLink">
              <a:rPr lang="en-US" sz="4400" b="0" i="0" u="none" strike="noStrike" cap="none" spc="0">
                <a:ln w="0"/>
                <a:solidFill>
                  <a:srgbClr val="22C55E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 Narrow"/>
              </a:rPr>
              <a:pPr algn="ctr"/>
              <a:t> R$ 1.800,00 </a:t>
            </a:fld>
            <a:endParaRPr lang="pt-BR" sz="4400" b="0" cap="none" spc="0">
              <a:ln w="0"/>
              <a:solidFill>
                <a:srgbClr val="22C55E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57F0414F-7819-CBF2-7E2D-0EE216A59866}"/>
              </a:ext>
            </a:extLst>
          </xdr:cNvPr>
          <xdr:cNvSpPr/>
        </xdr:nvSpPr>
        <xdr:spPr>
          <a:xfrm>
            <a:off x="8052547" y="1093694"/>
            <a:ext cx="5188323" cy="358589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 EA PLAY SEASON PASS</a:t>
            </a:r>
          </a:p>
        </xdr:txBody>
      </xdr:sp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B0241075-0094-4133-9862-5B5006F273E7}"/>
              </a:ext>
            </a:extLst>
          </xdr:cNvPr>
          <xdr:cNvGrpSpPr/>
        </xdr:nvGrpSpPr>
        <xdr:grpSpPr>
          <a:xfrm>
            <a:off x="8231841" y="1554258"/>
            <a:ext cx="1549476" cy="688041"/>
            <a:chOff x="3495675" y="5400674"/>
            <a:chExt cx="1549476" cy="752476"/>
          </a:xfrm>
        </xdr:grpSpPr>
        <xdr:pic>
          <xdr:nvPicPr>
            <xdr:cNvPr id="24" name="Imagem 23">
              <a:extLst>
                <a:ext uri="{FF2B5EF4-FFF2-40B4-BE49-F238E27FC236}">
                  <a16:creationId xmlns:a16="http://schemas.microsoft.com/office/drawing/2014/main" id="{2DC0C13D-5610-5B9A-125D-0AB0D69A391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5" name="Gráfico 24">
              <a:extLst>
                <a:ext uri="{FF2B5EF4-FFF2-40B4-BE49-F238E27FC236}">
                  <a16:creationId xmlns:a16="http://schemas.microsoft.com/office/drawing/2014/main" id="{89BA6FFD-2E8A-15D3-77D3-3326E0F51E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415636</xdr:colOff>
      <xdr:row>0</xdr:row>
      <xdr:rowOff>155864</xdr:rowOff>
    </xdr:from>
    <xdr:to>
      <xdr:col>0</xdr:col>
      <xdr:colOff>1627909</xdr:colOff>
      <xdr:row>6</xdr:row>
      <xdr:rowOff>207818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29EA936-C207-4E8E-A655-7D9CA0E58729}"/>
            </a:ext>
          </a:extLst>
        </xdr:cNvPr>
        <xdr:cNvSpPr/>
      </xdr:nvSpPr>
      <xdr:spPr>
        <a:xfrm>
          <a:off x="415636" y="155864"/>
          <a:ext cx="1212273" cy="1212272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</xdr:col>
      <xdr:colOff>22691</xdr:colOff>
      <xdr:row>40</xdr:row>
      <xdr:rowOff>17318</xdr:rowOff>
    </xdr:from>
    <xdr:to>
      <xdr:col>29</xdr:col>
      <xdr:colOff>184616</xdr:colOff>
      <xdr:row>74</xdr:row>
      <xdr:rowOff>80962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65AC3BE9-1087-CFBD-10AF-382D00184C1D}"/>
            </a:ext>
          </a:extLst>
        </xdr:cNvPr>
        <xdr:cNvGrpSpPr/>
      </xdr:nvGrpSpPr>
      <xdr:grpSpPr>
        <a:xfrm>
          <a:off x="2403941" y="7923068"/>
          <a:ext cx="16687800" cy="6540644"/>
          <a:chOff x="2309813" y="7923068"/>
          <a:chExt cx="16687800" cy="6540644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B683E81-4E35-9E59-D21C-B92A00B4DF43}"/>
              </a:ext>
            </a:extLst>
          </xdr:cNvPr>
          <xdr:cNvSpPr/>
        </xdr:nvSpPr>
        <xdr:spPr>
          <a:xfrm>
            <a:off x="2309813" y="7986712"/>
            <a:ext cx="16687800" cy="6477000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2" name="Gráfico 11">
            <a:extLst>
              <a:ext uri="{FF2B5EF4-FFF2-40B4-BE49-F238E27FC236}">
                <a16:creationId xmlns:a16="http://schemas.microsoft.com/office/drawing/2014/main" id="{1B936627-6CA9-4F4E-8234-3BC44D55A3E8}"/>
              </a:ext>
            </a:extLst>
          </xdr:cNvPr>
          <xdr:cNvGraphicFramePr>
            <a:graphicFrameLocks/>
          </xdr:cNvGraphicFramePr>
        </xdr:nvGraphicFramePr>
        <xdr:xfrm>
          <a:off x="2789093" y="9094643"/>
          <a:ext cx="15826347" cy="51830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3A7F0616-11E1-4E3F-A123-F7570561288B}"/>
              </a:ext>
            </a:extLst>
          </xdr:cNvPr>
          <xdr:cNvSpPr/>
        </xdr:nvSpPr>
        <xdr:spPr>
          <a:xfrm>
            <a:off x="2311644" y="7923068"/>
            <a:ext cx="16683403" cy="1103270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SUBSCRIPTION BY MONTH OF EACH PLAN OFFERED AND ITS VALUE</a:t>
            </a:r>
          </a:p>
        </xdr:txBody>
      </xdr:sp>
    </xdr:grpSp>
    <xdr:clientData/>
  </xdr:twoCellAnchor>
  <xdr:twoCellAnchor editAs="oneCell">
    <xdr:from>
      <xdr:col>0</xdr:col>
      <xdr:colOff>152400</xdr:colOff>
      <xdr:row>40</xdr:row>
      <xdr:rowOff>38100</xdr:rowOff>
    </xdr:from>
    <xdr:to>
      <xdr:col>0</xdr:col>
      <xdr:colOff>1981200</xdr:colOff>
      <xdr:row>54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Plan 1">
              <a:extLst>
                <a:ext uri="{FF2B5EF4-FFF2-40B4-BE49-F238E27FC236}">
                  <a16:creationId xmlns:a16="http://schemas.microsoft.com/office/drawing/2014/main" id="{B3143A90-4670-4C39-A710-9E779BE75C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79629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vi Gervazio" refreshedDate="45982.79791238426" createdVersion="8" refreshedVersion="8" minRefreshableVersion="3" recordCount="295" xr:uid="{804AB860-5801-48DA-916C-BEFE19FA80FB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4983617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n v="30"/>
    <s v="Yes"/>
    <n v="20"/>
    <n v="5"/>
    <n v="60"/>
  </r>
  <r>
    <n v="3232"/>
    <s v="Maria Oliveira"/>
    <x v="1"/>
    <x v="1"/>
    <x v="1"/>
    <n v="5"/>
    <x v="1"/>
    <s v="No"/>
    <s v="-"/>
    <s v="No"/>
    <n v="0"/>
    <n v="0"/>
    <n v="5"/>
  </r>
  <r>
    <n v="3233"/>
    <s v="Lucas Fernandes"/>
    <x v="2"/>
    <x v="2"/>
    <x v="0"/>
    <n v="10"/>
    <x v="2"/>
    <s v="No"/>
    <s v="-"/>
    <s v="Yes"/>
    <n v="20"/>
    <n v="10"/>
    <n v="20"/>
  </r>
  <r>
    <n v="3234"/>
    <s v="Ana Souza"/>
    <x v="0"/>
    <x v="3"/>
    <x v="1"/>
    <n v="15"/>
    <x v="0"/>
    <s v="Yes"/>
    <n v="30"/>
    <s v="Yes"/>
    <n v="20"/>
    <n v="3"/>
    <n v="62"/>
  </r>
  <r>
    <n v="3235"/>
    <s v="Pedro Gonçalves"/>
    <x v="1"/>
    <x v="4"/>
    <x v="0"/>
    <n v="5"/>
    <x v="0"/>
    <s v="No"/>
    <s v="-"/>
    <s v="No"/>
    <n v="0"/>
    <n v="1"/>
    <n v="4"/>
  </r>
  <r>
    <n v="3236"/>
    <s v="Felipe Costa"/>
    <x v="2"/>
    <x v="5"/>
    <x v="1"/>
    <n v="10"/>
    <x v="0"/>
    <s v="No"/>
    <s v="-"/>
    <s v="Yes"/>
    <n v="20"/>
    <n v="2"/>
    <n v="28"/>
  </r>
  <r>
    <n v="3237"/>
    <s v="Camila Ribeiro"/>
    <x v="0"/>
    <x v="6"/>
    <x v="0"/>
    <n v="15"/>
    <x v="2"/>
    <s v="Yes"/>
    <n v="30"/>
    <s v="Yes"/>
    <n v="20"/>
    <n v="10"/>
    <n v="55"/>
  </r>
  <r>
    <n v="3238"/>
    <s v="André Mendes"/>
    <x v="1"/>
    <x v="7"/>
    <x v="0"/>
    <n v="5"/>
    <x v="1"/>
    <s v="No"/>
    <s v="-"/>
    <s v="No"/>
    <n v="0"/>
    <n v="0"/>
    <n v="5"/>
  </r>
  <r>
    <n v="3239"/>
    <s v="Sofia Almeida"/>
    <x v="0"/>
    <x v="4"/>
    <x v="1"/>
    <n v="15"/>
    <x v="0"/>
    <s v="Yes"/>
    <n v="30"/>
    <s v="Yes"/>
    <n v="20"/>
    <n v="5"/>
    <n v="60"/>
  </r>
  <r>
    <n v="3240"/>
    <s v="Bruno Martins"/>
    <x v="2"/>
    <x v="8"/>
    <x v="0"/>
    <n v="10"/>
    <x v="2"/>
    <s v="No"/>
    <s v="-"/>
    <s v="Yes"/>
    <n v="20"/>
    <n v="15"/>
    <n v="15"/>
  </r>
  <r>
    <n v="3241"/>
    <s v="Rita Castro"/>
    <x v="1"/>
    <x v="9"/>
    <x v="1"/>
    <n v="5"/>
    <x v="0"/>
    <s v="No"/>
    <s v="-"/>
    <s v="No"/>
    <n v="0"/>
    <n v="1"/>
    <n v="4"/>
  </r>
  <r>
    <n v="3242"/>
    <s v="Marco Túlio"/>
    <x v="0"/>
    <x v="10"/>
    <x v="0"/>
    <n v="15"/>
    <x v="1"/>
    <s v="Yes"/>
    <n v="30"/>
    <s v="Yes"/>
    <n v="20"/>
    <n v="20"/>
    <n v="45"/>
  </r>
  <r>
    <n v="3243"/>
    <s v="Lívia Silveira"/>
    <x v="2"/>
    <x v="11"/>
    <x v="1"/>
    <n v="10"/>
    <x v="0"/>
    <s v="No"/>
    <s v="-"/>
    <s v="Yes"/>
    <n v="20"/>
    <n v="10"/>
    <n v="20"/>
  </r>
  <r>
    <n v="3244"/>
    <s v="Diogo Sousa"/>
    <x v="1"/>
    <x v="12"/>
    <x v="0"/>
    <n v="5"/>
    <x v="2"/>
    <s v="No"/>
    <s v="-"/>
    <s v="No"/>
    <n v="0"/>
    <n v="0"/>
    <n v="5"/>
  </r>
  <r>
    <n v="3245"/>
    <s v="Fernanda Lima"/>
    <x v="0"/>
    <x v="13"/>
    <x v="1"/>
    <n v="15"/>
    <x v="0"/>
    <s v="Yes"/>
    <n v="30"/>
    <s v="Yes"/>
    <n v="20"/>
    <n v="8"/>
    <n v="57"/>
  </r>
  <r>
    <n v="3246"/>
    <s v="Caio Pereira"/>
    <x v="2"/>
    <x v="14"/>
    <x v="0"/>
    <n v="10"/>
    <x v="1"/>
    <s v="No"/>
    <s v="-"/>
    <s v="Yes"/>
    <n v="20"/>
    <n v="12"/>
    <n v="18"/>
  </r>
  <r>
    <n v="3247"/>
    <s v="Beatriz Gomes"/>
    <x v="1"/>
    <x v="15"/>
    <x v="1"/>
    <n v="5"/>
    <x v="0"/>
    <s v="No"/>
    <s v="-"/>
    <s v="No"/>
    <n v="0"/>
    <n v="2"/>
    <n v="3"/>
  </r>
  <r>
    <n v="3248"/>
    <s v="Cesar Oliveira"/>
    <x v="0"/>
    <x v="16"/>
    <x v="0"/>
    <n v="15"/>
    <x v="2"/>
    <s v="Yes"/>
    <n v="30"/>
    <s v="Yes"/>
    <n v="20"/>
    <n v="7"/>
    <n v="58"/>
  </r>
  <r>
    <n v="3249"/>
    <s v="Débora Machado"/>
    <x v="2"/>
    <x v="17"/>
    <x v="1"/>
    <n v="10"/>
    <x v="0"/>
    <s v="No"/>
    <s v="-"/>
    <s v="Yes"/>
    <n v="20"/>
    <n v="5"/>
    <n v="25"/>
  </r>
  <r>
    <n v="3250"/>
    <s v="Eduardo Vargas"/>
    <x v="1"/>
    <x v="18"/>
    <x v="0"/>
    <n v="5"/>
    <x v="1"/>
    <s v="No"/>
    <s v="-"/>
    <s v="No"/>
    <n v="0"/>
    <n v="0"/>
    <n v="5"/>
  </r>
  <r>
    <n v="3251"/>
    <s v="Gabriela Santos"/>
    <x v="0"/>
    <x v="19"/>
    <x v="1"/>
    <n v="15"/>
    <x v="0"/>
    <s v="Yes"/>
    <n v="30"/>
    <s v="Yes"/>
    <n v="20"/>
    <n v="3"/>
    <n v="62"/>
  </r>
  <r>
    <n v="3252"/>
    <s v="Henrique Dias"/>
    <x v="2"/>
    <x v="20"/>
    <x v="0"/>
    <n v="10"/>
    <x v="2"/>
    <s v="No"/>
    <s v="-"/>
    <s v="Yes"/>
    <n v="20"/>
    <n v="15"/>
    <n v="15"/>
  </r>
  <r>
    <n v="3253"/>
    <s v="Isabela Moreira"/>
    <x v="1"/>
    <x v="21"/>
    <x v="1"/>
    <n v="5"/>
    <x v="0"/>
    <s v="No"/>
    <s v="-"/>
    <s v="No"/>
    <n v="0"/>
    <n v="1"/>
    <n v="4"/>
  </r>
  <r>
    <n v="3254"/>
    <s v="Joaquim Barbosa"/>
    <x v="0"/>
    <x v="22"/>
    <x v="0"/>
    <n v="15"/>
    <x v="1"/>
    <s v="Yes"/>
    <n v="30"/>
    <s v="Yes"/>
    <n v="20"/>
    <n v="20"/>
    <n v="45"/>
  </r>
  <r>
    <n v="3255"/>
    <s v="Lara Rocha"/>
    <x v="2"/>
    <x v="23"/>
    <x v="1"/>
    <n v="10"/>
    <x v="0"/>
    <s v="No"/>
    <s v="-"/>
    <s v="Yes"/>
    <n v="20"/>
    <n v="10"/>
    <n v="20"/>
  </r>
  <r>
    <n v="3256"/>
    <s v="Matheus Silva"/>
    <x v="1"/>
    <x v="24"/>
    <x v="0"/>
    <n v="5"/>
    <x v="2"/>
    <s v="No"/>
    <s v="-"/>
    <s v="No"/>
    <n v="0"/>
    <n v="0"/>
    <n v="5"/>
  </r>
  <r>
    <n v="3257"/>
    <s v="Nicole Costa"/>
    <x v="0"/>
    <x v="25"/>
    <x v="1"/>
    <n v="15"/>
    <x v="0"/>
    <s v="Yes"/>
    <n v="30"/>
    <s v="Yes"/>
    <n v="20"/>
    <n v="5"/>
    <n v="60"/>
  </r>
  <r>
    <n v="3258"/>
    <s v="Otávio Mendonça"/>
    <x v="2"/>
    <x v="26"/>
    <x v="0"/>
    <n v="10"/>
    <x v="1"/>
    <s v="No"/>
    <s v="-"/>
    <s v="Yes"/>
    <n v="20"/>
    <n v="15"/>
    <n v="15"/>
  </r>
  <r>
    <n v="3259"/>
    <s v="Paula Ferreira"/>
    <x v="1"/>
    <x v="27"/>
    <x v="1"/>
    <n v="5"/>
    <x v="0"/>
    <s v="No"/>
    <s v="-"/>
    <s v="No"/>
    <n v="0"/>
    <n v="1"/>
    <n v="4"/>
  </r>
  <r>
    <n v="3260"/>
    <s v="Raquel Alves"/>
    <x v="0"/>
    <x v="28"/>
    <x v="0"/>
    <n v="15"/>
    <x v="2"/>
    <s v="Yes"/>
    <n v="30"/>
    <s v="Yes"/>
    <n v="20"/>
    <n v="7"/>
    <n v="58"/>
  </r>
  <r>
    <n v="3261"/>
    <s v="Samuel Pires"/>
    <x v="2"/>
    <x v="29"/>
    <x v="1"/>
    <n v="10"/>
    <x v="0"/>
    <s v="No"/>
    <s v="-"/>
    <s v="Yes"/>
    <n v="20"/>
    <n v="10"/>
    <n v="20"/>
  </r>
  <r>
    <n v="3262"/>
    <s v="Tânia Barros"/>
    <x v="1"/>
    <x v="30"/>
    <x v="0"/>
    <n v="5"/>
    <x v="1"/>
    <s v="No"/>
    <s v="-"/>
    <s v="No"/>
    <n v="0"/>
    <n v="0"/>
    <n v="5"/>
  </r>
  <r>
    <n v="3263"/>
    <s v="Vinicius Lima"/>
    <x v="0"/>
    <x v="31"/>
    <x v="1"/>
    <n v="15"/>
    <x v="0"/>
    <s v="Yes"/>
    <n v="30"/>
    <s v="Yes"/>
    <n v="20"/>
    <n v="3"/>
    <n v="62"/>
  </r>
  <r>
    <n v="3264"/>
    <s v="Yasmin Teixeira"/>
    <x v="2"/>
    <x v="32"/>
    <x v="0"/>
    <n v="10"/>
    <x v="2"/>
    <s v="No"/>
    <s v="-"/>
    <s v="Yes"/>
    <n v="20"/>
    <n v="15"/>
    <n v="15"/>
  </r>
  <r>
    <n v="3265"/>
    <s v="Zé Carlos"/>
    <x v="1"/>
    <x v="33"/>
    <x v="1"/>
    <n v="5"/>
    <x v="0"/>
    <s v="No"/>
    <s v="-"/>
    <s v="No"/>
    <n v="0"/>
    <n v="1"/>
    <n v="4"/>
  </r>
  <r>
    <n v="3266"/>
    <s v="Amanda Nogueira"/>
    <x v="1"/>
    <x v="34"/>
    <x v="0"/>
    <n v="5"/>
    <x v="0"/>
    <s v="No"/>
    <s v="-"/>
    <s v="No"/>
    <n v="0"/>
    <n v="0"/>
    <n v="5"/>
  </r>
  <r>
    <n v="3267"/>
    <s v="Bruno Cavalheiro"/>
    <x v="0"/>
    <x v="35"/>
    <x v="1"/>
    <n v="15"/>
    <x v="2"/>
    <s v="Yes"/>
    <n v="30"/>
    <s v="Yes"/>
    <n v="20"/>
    <n v="7"/>
    <n v="58"/>
  </r>
  <r>
    <n v="3268"/>
    <s v="Carla Dias"/>
    <x v="2"/>
    <x v="36"/>
    <x v="0"/>
    <n v="10"/>
    <x v="1"/>
    <s v="No"/>
    <s v="-"/>
    <s v="Yes"/>
    <n v="20"/>
    <n v="10"/>
    <n v="20"/>
  </r>
  <r>
    <n v="3269"/>
    <s v="Diego Fontes"/>
    <x v="1"/>
    <x v="37"/>
    <x v="1"/>
    <n v="5"/>
    <x v="2"/>
    <s v="No"/>
    <s v="-"/>
    <s v="No"/>
    <n v="0"/>
    <n v="1"/>
    <n v="4"/>
  </r>
  <r>
    <n v="3270"/>
    <s v="Eunice Lima"/>
    <x v="0"/>
    <x v="38"/>
    <x v="0"/>
    <n v="15"/>
    <x v="0"/>
    <s v="Yes"/>
    <n v="30"/>
    <s v="Yes"/>
    <n v="20"/>
    <n v="15"/>
    <n v="50"/>
  </r>
  <r>
    <n v="3271"/>
    <s v="Fábio Martins"/>
    <x v="2"/>
    <x v="39"/>
    <x v="1"/>
    <n v="10"/>
    <x v="0"/>
    <s v="No"/>
    <s v="-"/>
    <s v="Yes"/>
    <n v="20"/>
    <n v="5"/>
    <n v="25"/>
  </r>
  <r>
    <n v="3272"/>
    <s v="Gisele Araújo"/>
    <x v="1"/>
    <x v="40"/>
    <x v="0"/>
    <n v="5"/>
    <x v="1"/>
    <s v="No"/>
    <s v="-"/>
    <s v="No"/>
    <n v="0"/>
    <n v="0"/>
    <n v="5"/>
  </r>
  <r>
    <n v="3273"/>
    <s v="Hélio Castro"/>
    <x v="0"/>
    <x v="41"/>
    <x v="1"/>
    <n v="15"/>
    <x v="2"/>
    <s v="Yes"/>
    <n v="30"/>
    <s v="Yes"/>
    <n v="20"/>
    <n v="20"/>
    <n v="45"/>
  </r>
  <r>
    <n v="3274"/>
    <s v="Ingrid Menezes"/>
    <x v="2"/>
    <x v="42"/>
    <x v="0"/>
    <n v="10"/>
    <x v="2"/>
    <s v="No"/>
    <s v="-"/>
    <s v="Yes"/>
    <n v="20"/>
    <n v="12"/>
    <n v="18"/>
  </r>
  <r>
    <n v="3275"/>
    <s v="Jorge Baptista"/>
    <x v="1"/>
    <x v="43"/>
    <x v="1"/>
    <n v="5"/>
    <x v="0"/>
    <s v="No"/>
    <s v="-"/>
    <s v="No"/>
    <n v="0"/>
    <n v="2"/>
    <n v="3"/>
  </r>
  <r>
    <n v="3276"/>
    <s v="Kléber Oliveira"/>
    <x v="0"/>
    <x v="44"/>
    <x v="0"/>
    <n v="15"/>
    <x v="1"/>
    <s v="Yes"/>
    <n v="30"/>
    <s v="Yes"/>
    <n v="20"/>
    <n v="5"/>
    <n v="60"/>
  </r>
  <r>
    <n v="3277"/>
    <s v="Luciana Freitas"/>
    <x v="2"/>
    <x v="45"/>
    <x v="1"/>
    <n v="10"/>
    <x v="0"/>
    <s v="No"/>
    <s v="-"/>
    <s v="Yes"/>
    <n v="20"/>
    <n v="10"/>
    <n v="20"/>
  </r>
  <r>
    <n v="3278"/>
    <s v="Márcia Eller"/>
    <x v="1"/>
    <x v="46"/>
    <x v="0"/>
    <n v="5"/>
    <x v="2"/>
    <s v="No"/>
    <s v="-"/>
    <s v="No"/>
    <n v="0"/>
    <n v="0"/>
    <n v="5"/>
  </r>
  <r>
    <n v="3279"/>
    <s v="Nilo Peçanha"/>
    <x v="0"/>
    <x v="47"/>
    <x v="1"/>
    <n v="15"/>
    <x v="0"/>
    <s v="Yes"/>
    <n v="30"/>
    <s v="Yes"/>
    <n v="20"/>
    <n v="3"/>
    <n v="62"/>
  </r>
  <r>
    <n v="3280"/>
    <s v="Oscar Neves"/>
    <x v="2"/>
    <x v="48"/>
    <x v="0"/>
    <n v="10"/>
    <x v="1"/>
    <s v="No"/>
    <s v="-"/>
    <s v="Yes"/>
    <n v="20"/>
    <n v="15"/>
    <n v="15"/>
  </r>
  <r>
    <n v="3281"/>
    <s v="Patrícia Soares"/>
    <x v="1"/>
    <x v="49"/>
    <x v="1"/>
    <n v="5"/>
    <x v="0"/>
    <s v="No"/>
    <s v="-"/>
    <s v="No"/>
    <n v="0"/>
    <n v="1"/>
    <n v="4"/>
  </r>
  <r>
    <n v="3282"/>
    <s v="Quirino Gonçalves"/>
    <x v="0"/>
    <x v="50"/>
    <x v="0"/>
    <n v="15"/>
    <x v="2"/>
    <s v="Yes"/>
    <n v="30"/>
    <s v="Yes"/>
    <n v="20"/>
    <n v="7"/>
    <n v="58"/>
  </r>
  <r>
    <n v="3283"/>
    <s v="Raul Machado"/>
    <x v="2"/>
    <x v="51"/>
    <x v="1"/>
    <n v="10"/>
    <x v="0"/>
    <s v="No"/>
    <s v="-"/>
    <s v="Yes"/>
    <n v="20"/>
    <n v="10"/>
    <n v="20"/>
  </r>
  <r>
    <n v="3284"/>
    <s v="Sônia Lobo"/>
    <x v="1"/>
    <x v="52"/>
    <x v="0"/>
    <n v="5"/>
    <x v="1"/>
    <s v="No"/>
    <s v="-"/>
    <s v="No"/>
    <n v="0"/>
    <n v="0"/>
    <n v="5"/>
  </r>
  <r>
    <n v="3285"/>
    <s v="Tiago Ramos"/>
    <x v="0"/>
    <x v="53"/>
    <x v="1"/>
    <n v="15"/>
    <x v="0"/>
    <s v="Yes"/>
    <n v="30"/>
    <s v="Yes"/>
    <n v="20"/>
    <n v="20"/>
    <n v="45"/>
  </r>
  <r>
    <n v="3286"/>
    <s v="Ugo Pires"/>
    <x v="2"/>
    <x v="54"/>
    <x v="0"/>
    <n v="10"/>
    <x v="2"/>
    <s v="No"/>
    <s v="-"/>
    <s v="Yes"/>
    <n v="20"/>
    <n v="15"/>
    <n v="15"/>
  </r>
  <r>
    <n v="3287"/>
    <s v="Valéria Nobre"/>
    <x v="1"/>
    <x v="55"/>
    <x v="1"/>
    <n v="5"/>
    <x v="0"/>
    <s v="No"/>
    <s v="-"/>
    <s v="No"/>
    <n v="0"/>
    <n v="1"/>
    <n v="4"/>
  </r>
  <r>
    <n v="3288"/>
    <s v="William Siqueira"/>
    <x v="0"/>
    <x v="56"/>
    <x v="0"/>
    <n v="15"/>
    <x v="1"/>
    <s v="Yes"/>
    <n v="30"/>
    <s v="Yes"/>
    <n v="20"/>
    <n v="3"/>
    <n v="62"/>
  </r>
  <r>
    <n v="3289"/>
    <s v="Xuxa Meneghel"/>
    <x v="2"/>
    <x v="57"/>
    <x v="1"/>
    <n v="10"/>
    <x v="0"/>
    <s v="No"/>
    <s v="-"/>
    <s v="Yes"/>
    <n v="20"/>
    <n v="10"/>
    <n v="20"/>
  </r>
  <r>
    <n v="3290"/>
    <s v="Yara Figueiredo"/>
    <x v="1"/>
    <x v="58"/>
    <x v="0"/>
    <n v="5"/>
    <x v="2"/>
    <s v="No"/>
    <s v="-"/>
    <s v="No"/>
    <n v="0"/>
    <n v="0"/>
    <n v="5"/>
  </r>
  <r>
    <n v="3291"/>
    <s v="Zacarias Alves"/>
    <x v="0"/>
    <x v="59"/>
    <x v="1"/>
    <n v="15"/>
    <x v="0"/>
    <s v="Yes"/>
    <n v="30"/>
    <s v="Yes"/>
    <n v="20"/>
    <n v="5"/>
    <n v="60"/>
  </r>
  <r>
    <n v="3292"/>
    <s v="Amanda Bynes"/>
    <x v="2"/>
    <x v="60"/>
    <x v="0"/>
    <n v="10"/>
    <x v="1"/>
    <s v="No"/>
    <s v="-"/>
    <s v="Yes"/>
    <n v="20"/>
    <n v="15"/>
    <n v="15"/>
  </r>
  <r>
    <n v="3293"/>
    <s v="Bruno Mars"/>
    <x v="1"/>
    <x v="61"/>
    <x v="1"/>
    <n v="5"/>
    <x v="0"/>
    <s v="No"/>
    <s v="-"/>
    <s v="No"/>
    <n v="0"/>
    <n v="1"/>
    <n v="4"/>
  </r>
  <r>
    <n v="3294"/>
    <s v="Carla Bruni"/>
    <x v="0"/>
    <x v="62"/>
    <x v="0"/>
    <n v="15"/>
    <x v="2"/>
    <s v="Yes"/>
    <n v="30"/>
    <s v="Yes"/>
    <n v="20"/>
    <n v="20"/>
    <n v="45"/>
  </r>
  <r>
    <n v="3295"/>
    <s v="Diego Maradona"/>
    <x v="2"/>
    <x v="63"/>
    <x v="1"/>
    <n v="10"/>
    <x v="0"/>
    <s v="No"/>
    <s v="-"/>
    <s v="Yes"/>
    <n v="20"/>
    <n v="5"/>
    <n v="25"/>
  </r>
  <r>
    <n v="3296"/>
    <s v="Estela Marques"/>
    <x v="1"/>
    <x v="64"/>
    <x v="1"/>
    <n v="5"/>
    <x v="0"/>
    <s v="No"/>
    <s v="-"/>
    <s v="No"/>
    <n v="0"/>
    <n v="0"/>
    <n v="5"/>
  </r>
  <r>
    <n v="3297"/>
    <s v="Fábio Nobre"/>
    <x v="0"/>
    <x v="65"/>
    <x v="0"/>
    <n v="15"/>
    <x v="2"/>
    <s v="Yes"/>
    <n v="30"/>
    <s v="Yes"/>
    <n v="20"/>
    <n v="7"/>
    <n v="58"/>
  </r>
  <r>
    <n v="3298"/>
    <s v="Gabriel Oliveira"/>
    <x v="2"/>
    <x v="66"/>
    <x v="1"/>
    <n v="10"/>
    <x v="1"/>
    <s v="No"/>
    <s v="-"/>
    <s v="Yes"/>
    <n v="20"/>
    <n v="10"/>
    <n v="20"/>
  </r>
  <r>
    <n v="3299"/>
    <s v="Helena Santos"/>
    <x v="1"/>
    <x v="67"/>
    <x v="0"/>
    <n v="5"/>
    <x v="2"/>
    <s v="No"/>
    <s v="-"/>
    <s v="No"/>
    <n v="0"/>
    <n v="1"/>
    <n v="4"/>
  </r>
  <r>
    <n v="3300"/>
    <s v="Ivan Carvalho"/>
    <x v="0"/>
    <x v="68"/>
    <x v="1"/>
    <n v="15"/>
    <x v="0"/>
    <s v="Yes"/>
    <n v="30"/>
    <s v="Yes"/>
    <n v="20"/>
    <n v="15"/>
    <n v="50"/>
  </r>
  <r>
    <n v="3301"/>
    <s v="Júlia Ferreira"/>
    <x v="2"/>
    <x v="69"/>
    <x v="0"/>
    <n v="10"/>
    <x v="0"/>
    <s v="No"/>
    <s v="-"/>
    <s v="Yes"/>
    <n v="20"/>
    <n v="5"/>
    <n v="25"/>
  </r>
  <r>
    <n v="3302"/>
    <s v="Karla Alves"/>
    <x v="1"/>
    <x v="70"/>
    <x v="1"/>
    <n v="5"/>
    <x v="1"/>
    <s v="No"/>
    <s v="-"/>
    <s v="No"/>
    <n v="0"/>
    <n v="0"/>
    <n v="5"/>
  </r>
  <r>
    <n v="3303"/>
    <s v="Lucas Mendes"/>
    <x v="0"/>
    <x v="71"/>
    <x v="0"/>
    <n v="15"/>
    <x v="2"/>
    <s v="Yes"/>
    <n v="30"/>
    <s v="Yes"/>
    <n v="20"/>
    <n v="20"/>
    <n v="45"/>
  </r>
  <r>
    <n v="3304"/>
    <s v="Mônica Gomes"/>
    <x v="2"/>
    <x v="72"/>
    <x v="1"/>
    <n v="10"/>
    <x v="2"/>
    <s v="No"/>
    <s v="-"/>
    <s v="Yes"/>
    <n v="20"/>
    <n v="12"/>
    <n v="18"/>
  </r>
  <r>
    <n v="3305"/>
    <s v="Norberto Queiroz"/>
    <x v="1"/>
    <x v="73"/>
    <x v="0"/>
    <n v="5"/>
    <x v="0"/>
    <s v="No"/>
    <s v="-"/>
    <s v="No"/>
    <n v="0"/>
    <n v="2"/>
    <n v="3"/>
  </r>
  <r>
    <n v="3306"/>
    <s v="Otávio Barros"/>
    <x v="0"/>
    <x v="74"/>
    <x v="1"/>
    <n v="15"/>
    <x v="1"/>
    <s v="Yes"/>
    <n v="30"/>
    <s v="Yes"/>
    <n v="20"/>
    <n v="5"/>
    <n v="60"/>
  </r>
  <r>
    <n v="3307"/>
    <s v="Paula Vieira"/>
    <x v="2"/>
    <x v="75"/>
    <x v="0"/>
    <n v="10"/>
    <x v="0"/>
    <s v="No"/>
    <s v="-"/>
    <s v="Yes"/>
    <n v="20"/>
    <n v="10"/>
    <n v="20"/>
  </r>
  <r>
    <n v="3308"/>
    <s v="Quentin Ramos"/>
    <x v="1"/>
    <x v="76"/>
    <x v="1"/>
    <n v="5"/>
    <x v="2"/>
    <s v="No"/>
    <s v="-"/>
    <s v="No"/>
    <n v="0"/>
    <n v="0"/>
    <n v="5"/>
  </r>
  <r>
    <n v="3309"/>
    <s v="Raquel Novaes"/>
    <x v="0"/>
    <x v="77"/>
    <x v="0"/>
    <n v="15"/>
    <x v="0"/>
    <s v="Yes"/>
    <n v="30"/>
    <s v="Yes"/>
    <n v="20"/>
    <n v="3"/>
    <n v="62"/>
  </r>
  <r>
    <n v="3310"/>
    <s v="Samantha Lopes"/>
    <x v="2"/>
    <x v="78"/>
    <x v="1"/>
    <n v="10"/>
    <x v="1"/>
    <s v="No"/>
    <s v="-"/>
    <s v="Yes"/>
    <n v="20"/>
    <n v="15"/>
    <n v="15"/>
  </r>
  <r>
    <n v="3311"/>
    <s v="Tiago Martins"/>
    <x v="1"/>
    <x v="79"/>
    <x v="0"/>
    <n v="5"/>
    <x v="0"/>
    <s v="No"/>
    <s v="-"/>
    <s v="No"/>
    <n v="0"/>
    <n v="1"/>
    <n v="4"/>
  </r>
  <r>
    <n v="3312"/>
    <s v="Ulysses Guimarães"/>
    <x v="0"/>
    <x v="80"/>
    <x v="1"/>
    <n v="15"/>
    <x v="2"/>
    <s v="Yes"/>
    <n v="30"/>
    <s v="Yes"/>
    <n v="20"/>
    <n v="7"/>
    <n v="58"/>
  </r>
  <r>
    <n v="3313"/>
    <s v="Vanessa Silva"/>
    <x v="2"/>
    <x v="81"/>
    <x v="0"/>
    <n v="10"/>
    <x v="0"/>
    <s v="No"/>
    <s v="-"/>
    <s v="Yes"/>
    <n v="20"/>
    <n v="10"/>
    <n v="20"/>
  </r>
  <r>
    <n v="3314"/>
    <s v="William Carneiro"/>
    <x v="1"/>
    <x v="82"/>
    <x v="1"/>
    <n v="5"/>
    <x v="1"/>
    <s v="No"/>
    <s v="-"/>
    <s v="No"/>
    <n v="0"/>
    <n v="0"/>
    <n v="5"/>
  </r>
  <r>
    <n v="3315"/>
    <s v="Ximena Rocha"/>
    <x v="0"/>
    <x v="83"/>
    <x v="0"/>
    <n v="15"/>
    <x v="0"/>
    <s v="Yes"/>
    <n v="30"/>
    <s v="Yes"/>
    <n v="20"/>
    <n v="20"/>
    <n v="45"/>
  </r>
  <r>
    <n v="3316"/>
    <s v="Yasmin Figueiredo"/>
    <x v="2"/>
    <x v="84"/>
    <x v="1"/>
    <n v="10"/>
    <x v="2"/>
    <s v="No"/>
    <s v="-"/>
    <s v="Yes"/>
    <n v="20"/>
    <n v="15"/>
    <n v="15"/>
  </r>
  <r>
    <n v="3317"/>
    <s v="Zara Cunha"/>
    <x v="1"/>
    <x v="85"/>
    <x v="0"/>
    <n v="5"/>
    <x v="0"/>
    <s v="No"/>
    <s v="-"/>
    <s v="No"/>
    <n v="0"/>
    <n v="1"/>
    <n v="4"/>
  </r>
  <r>
    <n v="3318"/>
    <s v="Alan Teixeira"/>
    <x v="0"/>
    <x v="86"/>
    <x v="1"/>
    <n v="15"/>
    <x v="1"/>
    <s v="Yes"/>
    <n v="30"/>
    <s v="Yes"/>
    <n v="20"/>
    <n v="3"/>
    <n v="62"/>
  </r>
  <r>
    <n v="3319"/>
    <s v="Bárbara Oliveira"/>
    <x v="2"/>
    <x v="87"/>
    <x v="0"/>
    <n v="10"/>
    <x v="0"/>
    <s v="No"/>
    <s v="-"/>
    <s v="Yes"/>
    <n v="20"/>
    <n v="10"/>
    <n v="20"/>
  </r>
  <r>
    <n v="3320"/>
    <s v="Carlos Junqueira"/>
    <x v="1"/>
    <x v="88"/>
    <x v="1"/>
    <n v="5"/>
    <x v="2"/>
    <s v="No"/>
    <s v="-"/>
    <s v="No"/>
    <n v="0"/>
    <n v="0"/>
    <n v="5"/>
  </r>
  <r>
    <n v="3321"/>
    <s v="Daniela Moura"/>
    <x v="0"/>
    <x v="89"/>
    <x v="0"/>
    <n v="15"/>
    <x v="0"/>
    <s v="Yes"/>
    <n v="30"/>
    <s v="Yes"/>
    <n v="20"/>
    <n v="5"/>
    <n v="60"/>
  </r>
  <r>
    <n v="3322"/>
    <s v="Eduardo Lima"/>
    <x v="2"/>
    <x v="90"/>
    <x v="1"/>
    <n v="10"/>
    <x v="1"/>
    <s v="No"/>
    <s v="-"/>
    <s v="Yes"/>
    <n v="20"/>
    <n v="15"/>
    <n v="15"/>
  </r>
  <r>
    <n v="3323"/>
    <s v="Fabiana Araújo"/>
    <x v="1"/>
    <x v="91"/>
    <x v="0"/>
    <n v="5"/>
    <x v="0"/>
    <s v="No"/>
    <s v="-"/>
    <s v="No"/>
    <n v="0"/>
    <n v="1"/>
    <n v="4"/>
  </r>
  <r>
    <n v="3324"/>
    <s v="Geraldo Ribeiro"/>
    <x v="0"/>
    <x v="92"/>
    <x v="1"/>
    <n v="15"/>
    <x v="2"/>
    <s v="Yes"/>
    <n v="30"/>
    <s v="Yes"/>
    <n v="20"/>
    <n v="20"/>
    <n v="45"/>
  </r>
  <r>
    <n v="3325"/>
    <s v="Héctor Vargas"/>
    <x v="2"/>
    <x v="93"/>
    <x v="0"/>
    <n v="10"/>
    <x v="2"/>
    <s v="No"/>
    <s v="-"/>
    <s v="Yes"/>
    <n v="20"/>
    <n v="15"/>
    <n v="15"/>
  </r>
  <r>
    <n v="3326"/>
    <s v="Isabela Fonseca"/>
    <x v="1"/>
    <x v="94"/>
    <x v="1"/>
    <n v="5"/>
    <x v="1"/>
    <s v="No"/>
    <s v="-"/>
    <s v="No"/>
    <n v="0"/>
    <n v="0"/>
    <n v="5"/>
  </r>
  <r>
    <n v="3327"/>
    <s v="João Pedro Almeida"/>
    <x v="0"/>
    <x v="95"/>
    <x v="0"/>
    <n v="15"/>
    <x v="0"/>
    <s v="Yes"/>
    <n v="30"/>
    <s v="Yes"/>
    <n v="20"/>
    <n v="7"/>
    <n v="58"/>
  </r>
  <r>
    <n v="3328"/>
    <s v="Klara Costa"/>
    <x v="2"/>
    <x v="96"/>
    <x v="1"/>
    <n v="10"/>
    <x v="1"/>
    <s v="No"/>
    <s v="-"/>
    <s v="Yes"/>
    <n v="20"/>
    <n v="10"/>
    <n v="20"/>
  </r>
  <r>
    <n v="3329"/>
    <s v="Luciana Mendes"/>
    <x v="1"/>
    <x v="97"/>
    <x v="0"/>
    <n v="5"/>
    <x v="2"/>
    <s v="No"/>
    <s v="-"/>
    <s v="No"/>
    <n v="0"/>
    <n v="1"/>
    <n v="4"/>
  </r>
  <r>
    <n v="3330"/>
    <s v="Marcelo Gouveia"/>
    <x v="0"/>
    <x v="98"/>
    <x v="1"/>
    <n v="15"/>
    <x v="0"/>
    <s v="Yes"/>
    <n v="30"/>
    <s v="Yes"/>
    <n v="20"/>
    <n v="15"/>
    <n v="50"/>
  </r>
  <r>
    <n v="3331"/>
    <s v="Nívea Borges"/>
    <x v="2"/>
    <x v="99"/>
    <x v="0"/>
    <n v="10"/>
    <x v="0"/>
    <s v="No"/>
    <s v="-"/>
    <s v="Yes"/>
    <n v="20"/>
    <n v="5"/>
    <n v="25"/>
  </r>
  <r>
    <n v="3332"/>
    <s v="Oscar Nogueira"/>
    <x v="1"/>
    <x v="100"/>
    <x v="1"/>
    <n v="5"/>
    <x v="1"/>
    <s v="No"/>
    <s v="-"/>
    <s v="No"/>
    <n v="0"/>
    <n v="0"/>
    <n v="5"/>
  </r>
  <r>
    <n v="3333"/>
    <s v="Patrícia Alves"/>
    <x v="0"/>
    <x v="101"/>
    <x v="0"/>
    <n v="15"/>
    <x v="2"/>
    <s v="Yes"/>
    <n v="30"/>
    <s v="Yes"/>
    <n v="20"/>
    <n v="20"/>
    <n v="45"/>
  </r>
  <r>
    <n v="3334"/>
    <s v="Rafaela Silva"/>
    <x v="2"/>
    <x v="102"/>
    <x v="1"/>
    <n v="10"/>
    <x v="2"/>
    <s v="No"/>
    <s v="-"/>
    <s v="Yes"/>
    <n v="20"/>
    <n v="12"/>
    <n v="18"/>
  </r>
  <r>
    <n v="3335"/>
    <s v="Samantha Moraes"/>
    <x v="1"/>
    <x v="103"/>
    <x v="0"/>
    <n v="5"/>
    <x v="0"/>
    <s v="No"/>
    <s v="-"/>
    <s v="No"/>
    <n v="0"/>
    <n v="2"/>
    <n v="3"/>
  </r>
  <r>
    <n v="3336"/>
    <s v="Tatiana Rocha"/>
    <x v="1"/>
    <x v="104"/>
    <x v="0"/>
    <n v="5"/>
    <x v="0"/>
    <s v="No"/>
    <s v="-"/>
    <s v="No"/>
    <n v="0"/>
    <n v="0"/>
    <n v="5"/>
  </r>
  <r>
    <n v="3337"/>
    <s v="Ulisses Tavares"/>
    <x v="0"/>
    <x v="105"/>
    <x v="1"/>
    <n v="15"/>
    <x v="2"/>
    <s v="Yes"/>
    <n v="30"/>
    <s v="Yes"/>
    <n v="20"/>
    <n v="7"/>
    <n v="58"/>
  </r>
  <r>
    <n v="3338"/>
    <s v="Víctor Lemos"/>
    <x v="2"/>
    <x v="106"/>
    <x v="0"/>
    <n v="10"/>
    <x v="1"/>
    <s v="No"/>
    <s v="-"/>
    <s v="Yes"/>
    <n v="20"/>
    <n v="10"/>
    <n v="20"/>
  </r>
  <r>
    <n v="3339"/>
    <s v="Wilma Barros"/>
    <x v="1"/>
    <x v="107"/>
    <x v="1"/>
    <n v="5"/>
    <x v="2"/>
    <s v="No"/>
    <s v="-"/>
    <s v="No"/>
    <n v="0"/>
    <n v="1"/>
    <n v="4"/>
  </r>
  <r>
    <n v="3340"/>
    <s v="Xavier Nascimento"/>
    <x v="0"/>
    <x v="108"/>
    <x v="0"/>
    <n v="15"/>
    <x v="0"/>
    <s v="Yes"/>
    <n v="30"/>
    <s v="Yes"/>
    <n v="20"/>
    <n v="15"/>
    <n v="50"/>
  </r>
  <r>
    <n v="3341"/>
    <s v="Yago Pereira"/>
    <x v="2"/>
    <x v="109"/>
    <x v="1"/>
    <n v="10"/>
    <x v="0"/>
    <s v="No"/>
    <s v="-"/>
    <s v="Yes"/>
    <n v="20"/>
    <n v="5"/>
    <n v="25"/>
  </r>
  <r>
    <n v="3342"/>
    <s v="Zilda Ferreira"/>
    <x v="1"/>
    <x v="110"/>
    <x v="0"/>
    <n v="5"/>
    <x v="1"/>
    <s v="No"/>
    <s v="-"/>
    <s v="No"/>
    <n v="0"/>
    <n v="0"/>
    <n v="5"/>
  </r>
  <r>
    <n v="3343"/>
    <s v="Amanda Lopes"/>
    <x v="0"/>
    <x v="111"/>
    <x v="1"/>
    <n v="15"/>
    <x v="2"/>
    <s v="Yes"/>
    <n v="30"/>
    <s v="Yes"/>
    <n v="20"/>
    <n v="20"/>
    <n v="45"/>
  </r>
  <r>
    <n v="3344"/>
    <s v="Bruno Miranda"/>
    <x v="2"/>
    <x v="112"/>
    <x v="0"/>
    <n v="10"/>
    <x v="2"/>
    <s v="No"/>
    <s v="-"/>
    <s v="Yes"/>
    <n v="20"/>
    <n v="12"/>
    <n v="18"/>
  </r>
  <r>
    <n v="3345"/>
    <s v="Célia Torres"/>
    <x v="1"/>
    <x v="113"/>
    <x v="1"/>
    <n v="5"/>
    <x v="0"/>
    <s v="No"/>
    <s v="-"/>
    <s v="No"/>
    <n v="0"/>
    <n v="2"/>
    <n v="3"/>
  </r>
  <r>
    <n v="3346"/>
    <s v="Diogo Souza"/>
    <x v="0"/>
    <x v="114"/>
    <x v="0"/>
    <n v="15"/>
    <x v="1"/>
    <s v="Yes"/>
    <n v="30"/>
    <s v="Yes"/>
    <n v="20"/>
    <n v="5"/>
    <n v="60"/>
  </r>
  <r>
    <n v="3347"/>
    <s v="Elisa Castro"/>
    <x v="2"/>
    <x v="115"/>
    <x v="1"/>
    <n v="10"/>
    <x v="0"/>
    <s v="No"/>
    <s v="-"/>
    <s v="Yes"/>
    <n v="20"/>
    <n v="10"/>
    <n v="20"/>
  </r>
  <r>
    <n v="3348"/>
    <s v="Fátima Lima"/>
    <x v="1"/>
    <x v="116"/>
    <x v="0"/>
    <n v="5"/>
    <x v="2"/>
    <s v="No"/>
    <s v="-"/>
    <s v="No"/>
    <n v="0"/>
    <n v="0"/>
    <n v="5"/>
  </r>
  <r>
    <n v="3349"/>
    <s v="Geraldo Ribeiro"/>
    <x v="0"/>
    <x v="117"/>
    <x v="1"/>
    <n v="15"/>
    <x v="0"/>
    <s v="Yes"/>
    <n v="30"/>
    <s v="Yes"/>
    <n v="20"/>
    <n v="3"/>
    <n v="62"/>
  </r>
  <r>
    <n v="3350"/>
    <s v="Hélio Martins"/>
    <x v="2"/>
    <x v="118"/>
    <x v="0"/>
    <n v="10"/>
    <x v="1"/>
    <s v="No"/>
    <s v="-"/>
    <s v="Yes"/>
    <n v="20"/>
    <n v="15"/>
    <n v="15"/>
  </r>
  <r>
    <n v="3351"/>
    <s v="Íris Santos"/>
    <x v="1"/>
    <x v="119"/>
    <x v="1"/>
    <n v="5"/>
    <x v="0"/>
    <s v="No"/>
    <s v="-"/>
    <s v="No"/>
    <n v="0"/>
    <n v="1"/>
    <n v="4"/>
  </r>
  <r>
    <n v="3352"/>
    <s v="João Marcelo"/>
    <x v="0"/>
    <x v="120"/>
    <x v="0"/>
    <n v="15"/>
    <x v="2"/>
    <s v="Yes"/>
    <n v="30"/>
    <s v="Yes"/>
    <n v="20"/>
    <n v="7"/>
    <n v="58"/>
  </r>
  <r>
    <n v="3353"/>
    <s v="Larissa Gomes"/>
    <x v="2"/>
    <x v="121"/>
    <x v="1"/>
    <n v="10"/>
    <x v="0"/>
    <s v="No"/>
    <s v="-"/>
    <s v="Yes"/>
    <n v="20"/>
    <n v="10"/>
    <n v="20"/>
  </r>
  <r>
    <n v="3354"/>
    <s v="Márcio Silva"/>
    <x v="1"/>
    <x v="122"/>
    <x v="0"/>
    <n v="5"/>
    <x v="1"/>
    <s v="No"/>
    <s v="-"/>
    <s v="No"/>
    <n v="0"/>
    <n v="0"/>
    <n v="5"/>
  </r>
  <r>
    <n v="3355"/>
    <s v="Nadia Costa"/>
    <x v="0"/>
    <x v="123"/>
    <x v="1"/>
    <n v="15"/>
    <x v="0"/>
    <s v="Yes"/>
    <n v="30"/>
    <s v="Yes"/>
    <n v="20"/>
    <n v="20"/>
    <n v="45"/>
  </r>
  <r>
    <n v="3356"/>
    <s v="Oscar Almeida"/>
    <x v="2"/>
    <x v="124"/>
    <x v="0"/>
    <n v="10"/>
    <x v="2"/>
    <s v="No"/>
    <s v="-"/>
    <s v="Yes"/>
    <n v="20"/>
    <n v="15"/>
    <n v="15"/>
  </r>
  <r>
    <n v="3357"/>
    <s v="Patricia Soares"/>
    <x v="1"/>
    <x v="125"/>
    <x v="1"/>
    <n v="5"/>
    <x v="0"/>
    <s v="No"/>
    <s v="-"/>
    <s v="No"/>
    <n v="0"/>
    <n v="1"/>
    <n v="4"/>
  </r>
  <r>
    <n v="3358"/>
    <s v="Quênia Barros"/>
    <x v="0"/>
    <x v="126"/>
    <x v="0"/>
    <n v="15"/>
    <x v="1"/>
    <s v="Yes"/>
    <n v="30"/>
    <s v="Yes"/>
    <n v="20"/>
    <n v="3"/>
    <n v="62"/>
  </r>
  <r>
    <n v="3359"/>
    <s v="Rafael Torres"/>
    <x v="2"/>
    <x v="127"/>
    <x v="1"/>
    <n v="10"/>
    <x v="0"/>
    <s v="No"/>
    <s v="-"/>
    <s v="Yes"/>
    <n v="20"/>
    <n v="10"/>
    <n v="20"/>
  </r>
  <r>
    <n v="3360"/>
    <s v="Silvia Nascimento"/>
    <x v="1"/>
    <x v="128"/>
    <x v="0"/>
    <n v="5"/>
    <x v="2"/>
    <s v="No"/>
    <s v="-"/>
    <s v="No"/>
    <n v="0"/>
    <n v="0"/>
    <n v="5"/>
  </r>
  <r>
    <n v="3361"/>
    <s v="Tiago Mendes"/>
    <x v="0"/>
    <x v="129"/>
    <x v="1"/>
    <n v="15"/>
    <x v="0"/>
    <s v="Yes"/>
    <n v="30"/>
    <s v="Yes"/>
    <n v="20"/>
    <n v="15"/>
    <n v="50"/>
  </r>
  <r>
    <n v="3362"/>
    <s v="Ursula Silva"/>
    <x v="2"/>
    <x v="130"/>
    <x v="0"/>
    <n v="10"/>
    <x v="1"/>
    <s v="No"/>
    <s v="-"/>
    <s v="Yes"/>
    <n v="20"/>
    <n v="15"/>
    <n v="15"/>
  </r>
  <r>
    <n v="3363"/>
    <s v="Vanessa Moraes"/>
    <x v="1"/>
    <x v="131"/>
    <x v="1"/>
    <n v="5"/>
    <x v="0"/>
    <s v="No"/>
    <s v="-"/>
    <s v="No"/>
    <n v="0"/>
    <n v="1"/>
    <n v="4"/>
  </r>
  <r>
    <n v="3364"/>
    <s v="Waldir Junior"/>
    <x v="0"/>
    <x v="132"/>
    <x v="0"/>
    <n v="15"/>
    <x v="2"/>
    <s v="Yes"/>
    <n v="30"/>
    <s v="Yes"/>
    <n v="20"/>
    <n v="7"/>
    <n v="58"/>
  </r>
  <r>
    <n v="3365"/>
    <s v="Xavier Lopes"/>
    <x v="2"/>
    <x v="133"/>
    <x v="1"/>
    <n v="10"/>
    <x v="0"/>
    <s v="No"/>
    <s v="-"/>
    <s v="Yes"/>
    <n v="20"/>
    <n v="10"/>
    <n v="20"/>
  </r>
  <r>
    <n v="3366"/>
    <s v="Yolanda Freitas"/>
    <x v="1"/>
    <x v="134"/>
    <x v="0"/>
    <n v="5"/>
    <x v="0"/>
    <s v="No"/>
    <s v="-"/>
    <s v="No"/>
    <n v="0"/>
    <n v="0"/>
    <n v="5"/>
  </r>
  <r>
    <n v="3367"/>
    <s v="Zacarias Nunes"/>
    <x v="0"/>
    <x v="135"/>
    <x v="1"/>
    <n v="15"/>
    <x v="2"/>
    <s v="Yes"/>
    <n v="30"/>
    <s v="Yes"/>
    <n v="20"/>
    <n v="7"/>
    <n v="58"/>
  </r>
  <r>
    <n v="3368"/>
    <s v="Ana Clara Barreto"/>
    <x v="2"/>
    <x v="136"/>
    <x v="0"/>
    <n v="10"/>
    <x v="1"/>
    <s v="No"/>
    <s v="-"/>
    <s v="Yes"/>
    <n v="20"/>
    <n v="10"/>
    <n v="20"/>
  </r>
  <r>
    <n v="3369"/>
    <s v="Bruno Henrique"/>
    <x v="1"/>
    <x v="137"/>
    <x v="1"/>
    <n v="5"/>
    <x v="2"/>
    <s v="No"/>
    <s v="-"/>
    <s v="No"/>
    <n v="0"/>
    <n v="1"/>
    <n v="4"/>
  </r>
  <r>
    <n v="3370"/>
    <s v="Carlos Eduardo"/>
    <x v="0"/>
    <x v="138"/>
    <x v="0"/>
    <n v="15"/>
    <x v="0"/>
    <s v="Yes"/>
    <n v="30"/>
    <s v="Yes"/>
    <n v="20"/>
    <n v="15"/>
    <n v="50"/>
  </r>
  <r>
    <n v="3371"/>
    <s v="Débora Lima"/>
    <x v="2"/>
    <x v="139"/>
    <x v="1"/>
    <n v="10"/>
    <x v="0"/>
    <s v="No"/>
    <s v="-"/>
    <s v="Yes"/>
    <n v="20"/>
    <n v="5"/>
    <n v="25"/>
  </r>
  <r>
    <n v="3372"/>
    <s v="Elisa Neves"/>
    <x v="1"/>
    <x v="140"/>
    <x v="0"/>
    <n v="5"/>
    <x v="1"/>
    <s v="No"/>
    <s v="-"/>
    <s v="No"/>
    <n v="0"/>
    <n v="0"/>
    <n v="5"/>
  </r>
  <r>
    <n v="3373"/>
    <s v="Fabiano Gomes"/>
    <x v="0"/>
    <x v="141"/>
    <x v="1"/>
    <n v="15"/>
    <x v="2"/>
    <s v="Yes"/>
    <n v="30"/>
    <s v="Yes"/>
    <n v="20"/>
    <n v="20"/>
    <n v="45"/>
  </r>
  <r>
    <n v="3374"/>
    <s v="Gisele Oliveira"/>
    <x v="2"/>
    <x v="142"/>
    <x v="0"/>
    <n v="10"/>
    <x v="2"/>
    <s v="No"/>
    <s v="-"/>
    <s v="Yes"/>
    <n v="20"/>
    <n v="12"/>
    <n v="18"/>
  </r>
  <r>
    <n v="3375"/>
    <s v="Héctor Silva"/>
    <x v="1"/>
    <x v="143"/>
    <x v="1"/>
    <n v="5"/>
    <x v="0"/>
    <s v="No"/>
    <s v="-"/>
    <s v="No"/>
    <n v="0"/>
    <n v="2"/>
    <n v="3"/>
  </r>
  <r>
    <n v="3376"/>
    <s v="Igor Martins"/>
    <x v="0"/>
    <x v="144"/>
    <x v="0"/>
    <n v="15"/>
    <x v="1"/>
    <s v="Yes"/>
    <n v="30"/>
    <s v="Yes"/>
    <n v="20"/>
    <n v="5"/>
    <n v="60"/>
  </r>
  <r>
    <n v="3377"/>
    <s v="Joana Figueiredo"/>
    <x v="2"/>
    <x v="145"/>
    <x v="1"/>
    <n v="10"/>
    <x v="0"/>
    <s v="No"/>
    <s v="-"/>
    <s v="Yes"/>
    <n v="20"/>
    <n v="10"/>
    <n v="20"/>
  </r>
  <r>
    <n v="3378"/>
    <s v="Kleber Machado"/>
    <x v="1"/>
    <x v="146"/>
    <x v="0"/>
    <n v="5"/>
    <x v="2"/>
    <s v="No"/>
    <s v="-"/>
    <s v="No"/>
    <n v="0"/>
    <n v="0"/>
    <n v="5"/>
  </r>
  <r>
    <n v="3379"/>
    <s v="Luciana Santos"/>
    <x v="0"/>
    <x v="147"/>
    <x v="1"/>
    <n v="15"/>
    <x v="0"/>
    <s v="Yes"/>
    <n v="30"/>
    <s v="Yes"/>
    <n v="20"/>
    <n v="3"/>
    <n v="62"/>
  </r>
  <r>
    <n v="3380"/>
    <s v="Marcos Teixeira"/>
    <x v="2"/>
    <x v="148"/>
    <x v="0"/>
    <n v="10"/>
    <x v="1"/>
    <s v="No"/>
    <s v="-"/>
    <s v="Yes"/>
    <n v="20"/>
    <n v="15"/>
    <n v="15"/>
  </r>
  <r>
    <n v="3381"/>
    <s v="Natalia Costa"/>
    <x v="1"/>
    <x v="149"/>
    <x v="1"/>
    <n v="5"/>
    <x v="0"/>
    <s v="No"/>
    <s v="-"/>
    <s v="No"/>
    <n v="0"/>
    <n v="1"/>
    <n v="4"/>
  </r>
  <r>
    <n v="3382"/>
    <s v="Oscar Ribeiro"/>
    <x v="0"/>
    <x v="150"/>
    <x v="0"/>
    <n v="15"/>
    <x v="2"/>
    <s v="Yes"/>
    <n v="30"/>
    <s v="Yes"/>
    <n v="20"/>
    <n v="7"/>
    <n v="58"/>
  </r>
  <r>
    <n v="3383"/>
    <s v="Patricia Almeida"/>
    <x v="2"/>
    <x v="151"/>
    <x v="1"/>
    <n v="10"/>
    <x v="0"/>
    <s v="No"/>
    <s v="-"/>
    <s v="Yes"/>
    <n v="20"/>
    <n v="10"/>
    <n v="20"/>
  </r>
  <r>
    <n v="3384"/>
    <s v="Quirino Junior"/>
    <x v="1"/>
    <x v="152"/>
    <x v="0"/>
    <n v="5"/>
    <x v="1"/>
    <s v="No"/>
    <s v="-"/>
    <s v="No"/>
    <n v="0"/>
    <n v="0"/>
    <n v="5"/>
  </r>
  <r>
    <n v="3385"/>
    <s v="Renata Machado"/>
    <x v="0"/>
    <x v="153"/>
    <x v="1"/>
    <n v="15"/>
    <x v="0"/>
    <s v="Yes"/>
    <n v="30"/>
    <s v="Yes"/>
    <n v="20"/>
    <n v="20"/>
    <n v="45"/>
  </r>
  <r>
    <n v="3386"/>
    <s v="Sônia Alves"/>
    <x v="2"/>
    <x v="154"/>
    <x v="0"/>
    <n v="10"/>
    <x v="2"/>
    <s v="No"/>
    <s v="-"/>
    <s v="Yes"/>
    <n v="20"/>
    <n v="15"/>
    <n v="15"/>
  </r>
  <r>
    <n v="3387"/>
    <s v="Tiago Nunes"/>
    <x v="1"/>
    <x v="155"/>
    <x v="1"/>
    <n v="5"/>
    <x v="0"/>
    <s v="No"/>
    <s v="-"/>
    <s v="No"/>
    <n v="0"/>
    <n v="1"/>
    <n v="4"/>
  </r>
  <r>
    <n v="3388"/>
    <s v="Ulysses Pereira"/>
    <x v="0"/>
    <x v="156"/>
    <x v="0"/>
    <n v="15"/>
    <x v="1"/>
    <s v="Yes"/>
    <n v="30"/>
    <s v="Yes"/>
    <n v="20"/>
    <n v="3"/>
    <n v="62"/>
  </r>
  <r>
    <n v="3389"/>
    <s v="Vanessa Lima"/>
    <x v="2"/>
    <x v="157"/>
    <x v="1"/>
    <n v="10"/>
    <x v="0"/>
    <s v="No"/>
    <s v="-"/>
    <s v="Yes"/>
    <n v="20"/>
    <n v="10"/>
    <n v="20"/>
  </r>
  <r>
    <n v="3390"/>
    <s v="Wagner Santos"/>
    <x v="1"/>
    <x v="158"/>
    <x v="0"/>
    <n v="5"/>
    <x v="2"/>
    <s v="No"/>
    <s v="-"/>
    <s v="No"/>
    <n v="0"/>
    <n v="0"/>
    <n v="5"/>
  </r>
  <r>
    <n v="3391"/>
    <s v="Xuxa Meneghel"/>
    <x v="0"/>
    <x v="159"/>
    <x v="1"/>
    <n v="15"/>
    <x v="0"/>
    <s v="Yes"/>
    <n v="30"/>
    <s v="Yes"/>
    <n v="20"/>
    <n v="15"/>
    <n v="50"/>
  </r>
  <r>
    <n v="3392"/>
    <s v="Yasmin Silva"/>
    <x v="2"/>
    <x v="160"/>
    <x v="0"/>
    <n v="10"/>
    <x v="1"/>
    <s v="No"/>
    <s v="-"/>
    <s v="Yes"/>
    <n v="20"/>
    <n v="15"/>
    <n v="15"/>
  </r>
  <r>
    <n v="3393"/>
    <s v="Zacarias de Souza"/>
    <x v="1"/>
    <x v="161"/>
    <x v="1"/>
    <n v="5"/>
    <x v="0"/>
    <s v="No"/>
    <s v="-"/>
    <s v="No"/>
    <n v="0"/>
    <n v="1"/>
    <n v="4"/>
  </r>
  <r>
    <n v="3394"/>
    <s v="André Lima"/>
    <x v="0"/>
    <x v="162"/>
    <x v="0"/>
    <n v="15"/>
    <x v="2"/>
    <s v="Yes"/>
    <n v="30"/>
    <s v="Yes"/>
    <n v="20"/>
    <n v="7"/>
    <n v="58"/>
  </r>
  <r>
    <n v="3395"/>
    <s v="Bianca Freitas"/>
    <x v="2"/>
    <x v="163"/>
    <x v="1"/>
    <n v="10"/>
    <x v="0"/>
    <s v="No"/>
    <s v="-"/>
    <s v="Yes"/>
    <n v="20"/>
    <n v="10"/>
    <n v="20"/>
  </r>
  <r>
    <n v="3396"/>
    <s v="Caio Mendes"/>
    <x v="1"/>
    <x v="164"/>
    <x v="0"/>
    <n v="5"/>
    <x v="1"/>
    <s v="No"/>
    <s v="-"/>
    <s v="No"/>
    <n v="0"/>
    <n v="0"/>
    <n v="5"/>
  </r>
  <r>
    <n v="3397"/>
    <s v="Daniela Moura"/>
    <x v="0"/>
    <x v="165"/>
    <x v="1"/>
    <n v="15"/>
    <x v="0"/>
    <s v="Yes"/>
    <n v="30"/>
    <s v="Yes"/>
    <n v="20"/>
    <n v="20"/>
    <n v="45"/>
  </r>
  <r>
    <n v="3398"/>
    <s v="Eduardo Costa"/>
    <x v="2"/>
    <x v="166"/>
    <x v="0"/>
    <n v="10"/>
    <x v="2"/>
    <s v="No"/>
    <s v="-"/>
    <s v="Yes"/>
    <n v="20"/>
    <n v="15"/>
    <n v="15"/>
  </r>
  <r>
    <n v="3399"/>
    <s v="Fernanda Gomes"/>
    <x v="1"/>
    <x v="167"/>
    <x v="1"/>
    <n v="5"/>
    <x v="0"/>
    <s v="No"/>
    <s v="-"/>
    <s v="No"/>
    <n v="0"/>
    <n v="1"/>
    <n v="4"/>
  </r>
  <r>
    <n v="3400"/>
    <s v="Guilherme Souza"/>
    <x v="0"/>
    <x v="168"/>
    <x v="0"/>
    <n v="15"/>
    <x v="1"/>
    <s v="Yes"/>
    <n v="30"/>
    <s v="Yes"/>
    <n v="20"/>
    <n v="5"/>
    <n v="60"/>
  </r>
  <r>
    <n v="3401"/>
    <s v="Helena Ribeiro"/>
    <x v="2"/>
    <x v="169"/>
    <x v="1"/>
    <n v="10"/>
    <x v="0"/>
    <s v="No"/>
    <s v="-"/>
    <s v="Yes"/>
    <n v="20"/>
    <n v="10"/>
    <n v="20"/>
  </r>
  <r>
    <n v="3402"/>
    <s v="Igor Santos"/>
    <x v="1"/>
    <x v="170"/>
    <x v="0"/>
    <n v="5"/>
    <x v="2"/>
    <s v="No"/>
    <s v="-"/>
    <s v="No"/>
    <n v="0"/>
    <n v="0"/>
    <n v="5"/>
  </r>
  <r>
    <n v="3403"/>
    <s v="João Carvalho"/>
    <x v="0"/>
    <x v="171"/>
    <x v="1"/>
    <n v="15"/>
    <x v="0"/>
    <s v="Yes"/>
    <n v="30"/>
    <s v="Yes"/>
    <n v="20"/>
    <n v="3"/>
    <n v="62"/>
  </r>
  <r>
    <n v="3404"/>
    <s v="Klara Fagundes"/>
    <x v="2"/>
    <x v="172"/>
    <x v="0"/>
    <n v="10"/>
    <x v="1"/>
    <s v="No"/>
    <s v="-"/>
    <s v="Yes"/>
    <n v="20"/>
    <n v="15"/>
    <n v="15"/>
  </r>
  <r>
    <n v="3405"/>
    <s v="Lúcia Mendonça"/>
    <x v="1"/>
    <x v="173"/>
    <x v="1"/>
    <n v="5"/>
    <x v="0"/>
    <s v="No"/>
    <s v="-"/>
    <s v="No"/>
    <n v="0"/>
    <n v="1"/>
    <n v="4"/>
  </r>
  <r>
    <n v="3406"/>
    <s v="Marcelo Novaes"/>
    <x v="1"/>
    <x v="174"/>
    <x v="0"/>
    <n v="5"/>
    <x v="0"/>
    <s v="No"/>
    <s v="-"/>
    <s v="No"/>
    <n v="0"/>
    <n v="0"/>
    <n v="5"/>
  </r>
  <r>
    <n v="3407"/>
    <s v="Nina Pacheco"/>
    <x v="0"/>
    <x v="175"/>
    <x v="1"/>
    <n v="15"/>
    <x v="2"/>
    <s v="Yes"/>
    <n v="30"/>
    <s v="Yes"/>
    <n v="20"/>
    <n v="7"/>
    <n v="58"/>
  </r>
  <r>
    <n v="3408"/>
    <s v="Olívia Rios"/>
    <x v="2"/>
    <x v="176"/>
    <x v="0"/>
    <n v="10"/>
    <x v="1"/>
    <s v="No"/>
    <s v="-"/>
    <s v="Yes"/>
    <n v="20"/>
    <n v="10"/>
    <n v="20"/>
  </r>
  <r>
    <n v="3409"/>
    <s v="Paulo Quintana"/>
    <x v="1"/>
    <x v="177"/>
    <x v="1"/>
    <n v="5"/>
    <x v="2"/>
    <s v="No"/>
    <s v="-"/>
    <s v="No"/>
    <n v="0"/>
    <n v="1"/>
    <n v="4"/>
  </r>
  <r>
    <n v="3410"/>
    <s v="Raquel Domingos"/>
    <x v="0"/>
    <x v="178"/>
    <x v="0"/>
    <n v="15"/>
    <x v="0"/>
    <s v="Yes"/>
    <n v="30"/>
    <s v="Yes"/>
    <n v="20"/>
    <n v="15"/>
    <n v="50"/>
  </r>
  <r>
    <n v="3411"/>
    <s v="Samuel Viana"/>
    <x v="2"/>
    <x v="179"/>
    <x v="1"/>
    <n v="10"/>
    <x v="0"/>
    <s v="No"/>
    <s v="-"/>
    <s v="Yes"/>
    <n v="20"/>
    <n v="5"/>
    <n v="25"/>
  </r>
  <r>
    <n v="3412"/>
    <s v="Tatiane Rocha"/>
    <x v="1"/>
    <x v="180"/>
    <x v="0"/>
    <n v="5"/>
    <x v="1"/>
    <s v="No"/>
    <s v="-"/>
    <s v="No"/>
    <n v="0"/>
    <n v="0"/>
    <n v="5"/>
  </r>
  <r>
    <n v="3413"/>
    <s v="Ulysses Farias"/>
    <x v="0"/>
    <x v="181"/>
    <x v="1"/>
    <n v="15"/>
    <x v="2"/>
    <s v="Yes"/>
    <n v="30"/>
    <s v="Yes"/>
    <n v="20"/>
    <n v="20"/>
    <n v="45"/>
  </r>
  <r>
    <n v="3414"/>
    <s v="Vanessa Moreira"/>
    <x v="2"/>
    <x v="182"/>
    <x v="0"/>
    <n v="10"/>
    <x v="2"/>
    <s v="No"/>
    <s v="-"/>
    <s v="Yes"/>
    <n v="20"/>
    <n v="12"/>
    <n v="18"/>
  </r>
  <r>
    <n v="3415"/>
    <s v="William Carvalho"/>
    <x v="1"/>
    <x v="183"/>
    <x v="1"/>
    <n v="5"/>
    <x v="0"/>
    <s v="No"/>
    <s v="-"/>
    <s v="No"/>
    <n v="0"/>
    <n v="2"/>
    <n v="3"/>
  </r>
  <r>
    <n v="3416"/>
    <s v="Ximena Barros"/>
    <x v="0"/>
    <x v="184"/>
    <x v="0"/>
    <n v="15"/>
    <x v="1"/>
    <s v="Yes"/>
    <n v="30"/>
    <s v="Yes"/>
    <n v="20"/>
    <n v="5"/>
    <n v="60"/>
  </r>
  <r>
    <n v="3417"/>
    <s v="Yara Machado"/>
    <x v="2"/>
    <x v="185"/>
    <x v="1"/>
    <n v="10"/>
    <x v="0"/>
    <s v="No"/>
    <s v="-"/>
    <s v="Yes"/>
    <n v="20"/>
    <n v="10"/>
    <n v="20"/>
  </r>
  <r>
    <n v="3418"/>
    <s v="Zacarias Costa"/>
    <x v="1"/>
    <x v="186"/>
    <x v="0"/>
    <n v="5"/>
    <x v="2"/>
    <s v="No"/>
    <s v="-"/>
    <s v="No"/>
    <n v="0"/>
    <n v="0"/>
    <n v="5"/>
  </r>
  <r>
    <n v="3419"/>
    <s v="André Lopes"/>
    <x v="0"/>
    <x v="187"/>
    <x v="1"/>
    <n v="15"/>
    <x v="0"/>
    <s v="Yes"/>
    <n v="30"/>
    <s v="Yes"/>
    <n v="20"/>
    <n v="3"/>
    <n v="62"/>
  </r>
  <r>
    <n v="3420"/>
    <s v="Beatriz Souza"/>
    <x v="2"/>
    <x v="188"/>
    <x v="0"/>
    <n v="10"/>
    <x v="1"/>
    <s v="No"/>
    <s v="-"/>
    <s v="Yes"/>
    <n v="20"/>
    <n v="15"/>
    <n v="15"/>
  </r>
  <r>
    <n v="3421"/>
    <s v="Caio Pereira"/>
    <x v="1"/>
    <x v="189"/>
    <x v="1"/>
    <n v="5"/>
    <x v="0"/>
    <s v="No"/>
    <s v="-"/>
    <s v="No"/>
    <n v="0"/>
    <n v="1"/>
    <n v="4"/>
  </r>
  <r>
    <n v="3422"/>
    <s v="Daniela Araújo"/>
    <x v="0"/>
    <x v="190"/>
    <x v="0"/>
    <n v="15"/>
    <x v="2"/>
    <s v="Yes"/>
    <n v="30"/>
    <s v="Yes"/>
    <n v="20"/>
    <n v="7"/>
    <n v="58"/>
  </r>
  <r>
    <n v="3423"/>
    <s v="Eduardo Santos"/>
    <x v="2"/>
    <x v="191"/>
    <x v="1"/>
    <n v="10"/>
    <x v="0"/>
    <s v="No"/>
    <s v="-"/>
    <s v="Yes"/>
    <n v="20"/>
    <n v="10"/>
    <n v="20"/>
  </r>
  <r>
    <n v="3424"/>
    <s v="Fernanda Lima"/>
    <x v="1"/>
    <x v="192"/>
    <x v="0"/>
    <n v="5"/>
    <x v="1"/>
    <s v="No"/>
    <s v="-"/>
    <s v="No"/>
    <n v="0"/>
    <n v="0"/>
    <n v="5"/>
  </r>
  <r>
    <n v="3425"/>
    <s v="Gabriel Teixeira"/>
    <x v="0"/>
    <x v="193"/>
    <x v="1"/>
    <n v="15"/>
    <x v="0"/>
    <s v="Yes"/>
    <n v="30"/>
    <s v="Yes"/>
    <n v="20"/>
    <n v="20"/>
    <n v="45"/>
  </r>
  <r>
    <n v="3426"/>
    <s v="Helena Ribeiro"/>
    <x v="2"/>
    <x v="194"/>
    <x v="0"/>
    <n v="10"/>
    <x v="2"/>
    <s v="No"/>
    <s v="-"/>
    <s v="Yes"/>
    <n v="20"/>
    <n v="15"/>
    <n v="15"/>
  </r>
  <r>
    <n v="3427"/>
    <s v="Igor Mendes"/>
    <x v="1"/>
    <x v="195"/>
    <x v="1"/>
    <n v="5"/>
    <x v="0"/>
    <s v="No"/>
    <s v="-"/>
    <s v="No"/>
    <n v="0"/>
    <n v="1"/>
    <n v="4"/>
  </r>
  <r>
    <n v="3428"/>
    <s v="Joana Silveira"/>
    <x v="0"/>
    <x v="196"/>
    <x v="0"/>
    <n v="15"/>
    <x v="1"/>
    <s v="Yes"/>
    <n v="30"/>
    <s v="Yes"/>
    <n v="20"/>
    <n v="3"/>
    <n v="62"/>
  </r>
  <r>
    <n v="3429"/>
    <s v="Lucas Martins"/>
    <x v="2"/>
    <x v="197"/>
    <x v="1"/>
    <n v="10"/>
    <x v="0"/>
    <s v="No"/>
    <s v="-"/>
    <s v="Yes"/>
    <n v="20"/>
    <n v="10"/>
    <n v="20"/>
  </r>
  <r>
    <n v="3430"/>
    <s v="Marcela Gouveia"/>
    <x v="1"/>
    <x v="198"/>
    <x v="0"/>
    <n v="5"/>
    <x v="2"/>
    <s v="No"/>
    <s v="-"/>
    <s v="No"/>
    <n v="0"/>
    <n v="0"/>
    <n v="5"/>
  </r>
  <r>
    <n v="3431"/>
    <s v="Nicolas Borges"/>
    <x v="0"/>
    <x v="199"/>
    <x v="1"/>
    <n v="15"/>
    <x v="0"/>
    <s v="Yes"/>
    <n v="30"/>
    <s v="Yes"/>
    <n v="20"/>
    <n v="15"/>
    <n v="50"/>
  </r>
  <r>
    <n v="3432"/>
    <s v="Olivia Freitas"/>
    <x v="2"/>
    <x v="200"/>
    <x v="0"/>
    <n v="10"/>
    <x v="1"/>
    <s v="No"/>
    <s v="-"/>
    <s v="Yes"/>
    <n v="20"/>
    <n v="15"/>
    <n v="15"/>
  </r>
  <r>
    <n v="3433"/>
    <s v="Paulo Nogueira"/>
    <x v="1"/>
    <x v="201"/>
    <x v="1"/>
    <n v="5"/>
    <x v="0"/>
    <s v="No"/>
    <s v="-"/>
    <s v="No"/>
    <n v="0"/>
    <n v="1"/>
    <n v="4"/>
  </r>
  <r>
    <n v="3434"/>
    <s v="Raquel Andrade"/>
    <x v="0"/>
    <x v="202"/>
    <x v="0"/>
    <n v="15"/>
    <x v="2"/>
    <s v="Yes"/>
    <n v="30"/>
    <s v="Yes"/>
    <n v="20"/>
    <n v="7"/>
    <n v="58"/>
  </r>
  <r>
    <n v="3435"/>
    <s v="Sônia Carvalho"/>
    <x v="2"/>
    <x v="203"/>
    <x v="1"/>
    <n v="10"/>
    <x v="0"/>
    <s v="No"/>
    <s v="-"/>
    <s v="Yes"/>
    <n v="20"/>
    <n v="10"/>
    <n v="20"/>
  </r>
  <r>
    <n v="3436"/>
    <s v="Tiago Rodrigues"/>
    <x v="1"/>
    <x v="204"/>
    <x v="0"/>
    <n v="5"/>
    <x v="0"/>
    <s v="No"/>
    <s v="-"/>
    <s v="No"/>
    <n v="0"/>
    <n v="0"/>
    <n v="5"/>
  </r>
  <r>
    <n v="3437"/>
    <s v="Ursula Monteiro"/>
    <x v="0"/>
    <x v="205"/>
    <x v="1"/>
    <n v="15"/>
    <x v="2"/>
    <s v="Yes"/>
    <n v="30"/>
    <s v="Yes"/>
    <n v="20"/>
    <n v="7"/>
    <n v="58"/>
  </r>
  <r>
    <n v="3438"/>
    <s v="Vanessa Pereira"/>
    <x v="2"/>
    <x v="206"/>
    <x v="0"/>
    <n v="10"/>
    <x v="1"/>
    <s v="No"/>
    <s v="-"/>
    <s v="Yes"/>
    <n v="20"/>
    <n v="10"/>
    <n v="20"/>
  </r>
  <r>
    <n v="3439"/>
    <s v="Walter Silva"/>
    <x v="1"/>
    <x v="207"/>
    <x v="1"/>
    <n v="5"/>
    <x v="2"/>
    <s v="No"/>
    <s v="-"/>
    <s v="No"/>
    <n v="0"/>
    <n v="1"/>
    <n v="4"/>
  </r>
  <r>
    <n v="3440"/>
    <s v="Xavier Almeida"/>
    <x v="0"/>
    <x v="208"/>
    <x v="0"/>
    <n v="15"/>
    <x v="0"/>
    <s v="Yes"/>
    <n v="30"/>
    <s v="Yes"/>
    <n v="20"/>
    <n v="15"/>
    <n v="50"/>
  </r>
  <r>
    <n v="3441"/>
    <s v="Yasmine Correia"/>
    <x v="2"/>
    <x v="209"/>
    <x v="1"/>
    <n v="10"/>
    <x v="0"/>
    <s v="No"/>
    <s v="-"/>
    <s v="Yes"/>
    <n v="20"/>
    <n v="5"/>
    <n v="25"/>
  </r>
  <r>
    <n v="3442"/>
    <s v="Zacarias Almeida"/>
    <x v="1"/>
    <x v="210"/>
    <x v="0"/>
    <n v="5"/>
    <x v="1"/>
    <s v="No"/>
    <s v="-"/>
    <s v="No"/>
    <n v="0"/>
    <n v="0"/>
    <n v="5"/>
  </r>
  <r>
    <n v="3443"/>
    <s v="Amanda Costa"/>
    <x v="0"/>
    <x v="211"/>
    <x v="1"/>
    <n v="15"/>
    <x v="2"/>
    <s v="Yes"/>
    <n v="30"/>
    <s v="Yes"/>
    <n v="20"/>
    <n v="20"/>
    <n v="45"/>
  </r>
  <r>
    <n v="3444"/>
    <s v="Bruno Ferreira"/>
    <x v="2"/>
    <x v="212"/>
    <x v="0"/>
    <n v="10"/>
    <x v="2"/>
    <s v="No"/>
    <s v="-"/>
    <s v="Yes"/>
    <n v="20"/>
    <n v="12"/>
    <n v="18"/>
  </r>
  <r>
    <n v="3445"/>
    <s v="Carla Dias"/>
    <x v="1"/>
    <x v="213"/>
    <x v="1"/>
    <n v="5"/>
    <x v="0"/>
    <s v="No"/>
    <s v="-"/>
    <s v="No"/>
    <n v="0"/>
    <n v="2"/>
    <n v="3"/>
  </r>
  <r>
    <n v="3446"/>
    <s v="Diogo Martins"/>
    <x v="0"/>
    <x v="214"/>
    <x v="0"/>
    <n v="15"/>
    <x v="1"/>
    <s v="Yes"/>
    <n v="30"/>
    <s v="Yes"/>
    <n v="20"/>
    <n v="5"/>
    <n v="60"/>
  </r>
  <r>
    <n v="3447"/>
    <s v="Elisa Campos"/>
    <x v="2"/>
    <x v="215"/>
    <x v="1"/>
    <n v="10"/>
    <x v="0"/>
    <s v="No"/>
    <s v="-"/>
    <s v="Yes"/>
    <n v="20"/>
    <n v="10"/>
    <n v="20"/>
  </r>
  <r>
    <n v="3448"/>
    <s v="Fabiana Lima"/>
    <x v="1"/>
    <x v="216"/>
    <x v="0"/>
    <n v="5"/>
    <x v="2"/>
    <s v="No"/>
    <s v="-"/>
    <s v="No"/>
    <n v="0"/>
    <n v="0"/>
    <n v="5"/>
  </r>
  <r>
    <n v="3449"/>
    <s v="Gabriel Santos"/>
    <x v="0"/>
    <x v="217"/>
    <x v="1"/>
    <n v="15"/>
    <x v="0"/>
    <s v="Yes"/>
    <n v="30"/>
    <s v="Yes"/>
    <n v="20"/>
    <n v="3"/>
    <n v="62"/>
  </r>
  <r>
    <n v="3450"/>
    <s v="Helena Ferreira"/>
    <x v="2"/>
    <x v="218"/>
    <x v="0"/>
    <n v="10"/>
    <x v="1"/>
    <s v="No"/>
    <s v="-"/>
    <s v="Yes"/>
    <n v="20"/>
    <n v="15"/>
    <n v="15"/>
  </r>
  <r>
    <n v="3451"/>
    <s v="Ígor Nunes"/>
    <x v="1"/>
    <x v="219"/>
    <x v="1"/>
    <n v="5"/>
    <x v="0"/>
    <s v="No"/>
    <s v="-"/>
    <s v="No"/>
    <n v="0"/>
    <n v="1"/>
    <n v="4"/>
  </r>
  <r>
    <n v="3452"/>
    <s v="Joana Silveira"/>
    <x v="0"/>
    <x v="220"/>
    <x v="0"/>
    <n v="15"/>
    <x v="2"/>
    <s v="Yes"/>
    <n v="30"/>
    <s v="Yes"/>
    <n v="20"/>
    <n v="7"/>
    <n v="58"/>
  </r>
  <r>
    <n v="3453"/>
    <s v="Kléber Oliveira"/>
    <x v="2"/>
    <x v="221"/>
    <x v="1"/>
    <n v="10"/>
    <x v="0"/>
    <s v="No"/>
    <s v="-"/>
    <s v="Yes"/>
    <n v="20"/>
    <n v="10"/>
    <n v="20"/>
  </r>
  <r>
    <n v="3454"/>
    <s v="Luciana Morais"/>
    <x v="1"/>
    <x v="222"/>
    <x v="0"/>
    <n v="5"/>
    <x v="1"/>
    <s v="No"/>
    <s v="-"/>
    <s v="No"/>
    <n v="0"/>
    <n v="0"/>
    <n v="5"/>
  </r>
  <r>
    <n v="3455"/>
    <s v="Marcos Vinícius"/>
    <x v="0"/>
    <x v="223"/>
    <x v="1"/>
    <n v="15"/>
    <x v="0"/>
    <s v="Yes"/>
    <n v="30"/>
    <s v="Yes"/>
    <n v="20"/>
    <n v="20"/>
    <n v="45"/>
  </r>
  <r>
    <n v="3456"/>
    <s v="Natália Barros"/>
    <x v="2"/>
    <x v="224"/>
    <x v="0"/>
    <n v="10"/>
    <x v="2"/>
    <s v="No"/>
    <s v="-"/>
    <s v="Yes"/>
    <n v="20"/>
    <n v="15"/>
    <n v="15"/>
  </r>
  <r>
    <n v="3457"/>
    <s v="Oscar Sampaio"/>
    <x v="1"/>
    <x v="225"/>
    <x v="1"/>
    <n v="5"/>
    <x v="0"/>
    <s v="No"/>
    <s v="-"/>
    <s v="No"/>
    <n v="0"/>
    <n v="1"/>
    <n v="4"/>
  </r>
  <r>
    <n v="3458"/>
    <s v="Patrícia Leite"/>
    <x v="0"/>
    <x v="226"/>
    <x v="0"/>
    <n v="15"/>
    <x v="1"/>
    <s v="Yes"/>
    <n v="30"/>
    <s v="Yes"/>
    <n v="20"/>
    <n v="3"/>
    <n v="62"/>
  </r>
  <r>
    <n v="3459"/>
    <s v="Quênia Rocha"/>
    <x v="2"/>
    <x v="227"/>
    <x v="1"/>
    <n v="10"/>
    <x v="0"/>
    <s v="No"/>
    <s v="-"/>
    <s v="Yes"/>
    <n v="20"/>
    <n v="10"/>
    <n v="20"/>
  </r>
  <r>
    <n v="3460"/>
    <s v="Rafael Torres"/>
    <x v="1"/>
    <x v="228"/>
    <x v="0"/>
    <n v="5"/>
    <x v="2"/>
    <s v="No"/>
    <s v="-"/>
    <s v="No"/>
    <n v="0"/>
    <n v="0"/>
    <n v="5"/>
  </r>
  <r>
    <n v="3461"/>
    <s v="Sandra Gouveia"/>
    <x v="0"/>
    <x v="229"/>
    <x v="1"/>
    <n v="15"/>
    <x v="0"/>
    <s v="Yes"/>
    <n v="30"/>
    <s v="Yes"/>
    <n v="20"/>
    <n v="15"/>
    <n v="50"/>
  </r>
  <r>
    <n v="3462"/>
    <s v="Tiago Lacerda"/>
    <x v="2"/>
    <x v="230"/>
    <x v="0"/>
    <n v="10"/>
    <x v="1"/>
    <s v="No"/>
    <s v="-"/>
    <s v="Yes"/>
    <n v="20"/>
    <n v="15"/>
    <n v="15"/>
  </r>
  <r>
    <n v="3463"/>
    <s v="Ursula Fonseca"/>
    <x v="1"/>
    <x v="231"/>
    <x v="1"/>
    <n v="5"/>
    <x v="0"/>
    <s v="No"/>
    <s v="-"/>
    <s v="No"/>
    <n v="0"/>
    <n v="1"/>
    <n v="4"/>
  </r>
  <r>
    <n v="3464"/>
    <s v="Vanessa Andrade"/>
    <x v="0"/>
    <x v="232"/>
    <x v="0"/>
    <n v="15"/>
    <x v="2"/>
    <s v="Yes"/>
    <n v="30"/>
    <s v="Yes"/>
    <n v="20"/>
    <n v="7"/>
    <n v="58"/>
  </r>
  <r>
    <n v="3465"/>
    <s v="William Castro"/>
    <x v="2"/>
    <x v="233"/>
    <x v="1"/>
    <n v="10"/>
    <x v="0"/>
    <s v="No"/>
    <s v="-"/>
    <s v="Yes"/>
    <n v="20"/>
    <n v="10"/>
    <n v="20"/>
  </r>
  <r>
    <n v="3466"/>
    <s v="Xavier Monteiro"/>
    <x v="1"/>
    <x v="234"/>
    <x v="0"/>
    <n v="5"/>
    <x v="1"/>
    <s v="No"/>
    <s v="-"/>
    <s v="No"/>
    <n v="0"/>
    <n v="0"/>
    <n v="5"/>
  </r>
  <r>
    <n v="3467"/>
    <s v="Yasmin Figueira"/>
    <x v="0"/>
    <x v="235"/>
    <x v="1"/>
    <n v="15"/>
    <x v="0"/>
    <s v="Yes"/>
    <n v="30"/>
    <s v="Yes"/>
    <n v="20"/>
    <n v="15"/>
    <n v="50"/>
  </r>
  <r>
    <n v="3468"/>
    <s v="Zacarias Mendonça"/>
    <x v="2"/>
    <x v="236"/>
    <x v="0"/>
    <n v="10"/>
    <x v="2"/>
    <s v="No"/>
    <s v="-"/>
    <s v="Yes"/>
    <n v="20"/>
    <n v="12"/>
    <n v="18"/>
  </r>
  <r>
    <n v="3469"/>
    <s v="Amanda Menezes"/>
    <x v="1"/>
    <x v="237"/>
    <x v="1"/>
    <n v="5"/>
    <x v="0"/>
    <s v="No"/>
    <s v="-"/>
    <s v="No"/>
    <n v="0"/>
    <n v="2"/>
    <n v="3"/>
  </r>
  <r>
    <n v="3470"/>
    <s v="Bruno Santos"/>
    <x v="0"/>
    <x v="238"/>
    <x v="0"/>
    <n v="15"/>
    <x v="1"/>
    <s v="Yes"/>
    <n v="30"/>
    <s v="Yes"/>
    <n v="20"/>
    <n v="5"/>
    <n v="60"/>
  </r>
  <r>
    <n v="3471"/>
    <s v="Carla Ferreira"/>
    <x v="2"/>
    <x v="239"/>
    <x v="1"/>
    <n v="10"/>
    <x v="0"/>
    <s v="No"/>
    <s v="-"/>
    <s v="Yes"/>
    <n v="20"/>
    <n v="10"/>
    <n v="20"/>
  </r>
  <r>
    <n v="3472"/>
    <s v="Diogo Alves"/>
    <x v="1"/>
    <x v="240"/>
    <x v="0"/>
    <n v="5"/>
    <x v="2"/>
    <s v="No"/>
    <s v="-"/>
    <s v="No"/>
    <n v="0"/>
    <n v="0"/>
    <n v="5"/>
  </r>
  <r>
    <n v="3473"/>
    <s v="Elisa Neves"/>
    <x v="0"/>
    <x v="241"/>
    <x v="1"/>
    <n v="15"/>
    <x v="0"/>
    <s v="Yes"/>
    <n v="30"/>
    <s v="Yes"/>
    <n v="20"/>
    <n v="3"/>
    <n v="62"/>
  </r>
  <r>
    <n v="3474"/>
    <s v="Fabiano Pires"/>
    <x v="2"/>
    <x v="242"/>
    <x v="0"/>
    <n v="10"/>
    <x v="1"/>
    <s v="No"/>
    <s v="-"/>
    <s v="Yes"/>
    <n v="20"/>
    <n v="15"/>
    <n v="15"/>
  </r>
  <r>
    <n v="3475"/>
    <s v="Giovana Ribeiro"/>
    <x v="1"/>
    <x v="243"/>
    <x v="1"/>
    <n v="5"/>
    <x v="0"/>
    <s v="No"/>
    <s v="-"/>
    <s v="No"/>
    <n v="0"/>
    <n v="1"/>
    <n v="4"/>
  </r>
  <r>
    <n v="3476"/>
    <s v="Hélio Costa"/>
    <x v="0"/>
    <x v="244"/>
    <x v="0"/>
    <n v="15"/>
    <x v="2"/>
    <s v="Yes"/>
    <n v="30"/>
    <s v="Yes"/>
    <n v="20"/>
    <n v="7"/>
    <n v="58"/>
  </r>
  <r>
    <n v="3477"/>
    <s v="Íris Loureiro"/>
    <x v="2"/>
    <x v="245"/>
    <x v="1"/>
    <n v="10"/>
    <x v="0"/>
    <s v="No"/>
    <s v="-"/>
    <s v="Yes"/>
    <n v="20"/>
    <n v="10"/>
    <n v="20"/>
  </r>
  <r>
    <n v="3478"/>
    <s v="João Pereira"/>
    <x v="1"/>
    <x v="246"/>
    <x v="0"/>
    <n v="5"/>
    <x v="1"/>
    <s v="No"/>
    <s v="-"/>
    <s v="No"/>
    <n v="0"/>
    <n v="0"/>
    <n v="5"/>
  </r>
  <r>
    <n v="3479"/>
    <s v="Klara Silva"/>
    <x v="0"/>
    <x v="247"/>
    <x v="1"/>
    <n v="15"/>
    <x v="0"/>
    <s v="Yes"/>
    <n v="30"/>
    <s v="Yes"/>
    <n v="20"/>
    <n v="20"/>
    <n v="45"/>
  </r>
  <r>
    <n v="3480"/>
    <s v="Luciana Barros"/>
    <x v="2"/>
    <x v="248"/>
    <x v="0"/>
    <n v="10"/>
    <x v="2"/>
    <s v="No"/>
    <s v="-"/>
    <s v="Yes"/>
    <n v="20"/>
    <n v="15"/>
    <n v="15"/>
  </r>
  <r>
    <n v="3481"/>
    <s v="Marcos Gomes"/>
    <x v="1"/>
    <x v="249"/>
    <x v="1"/>
    <n v="5"/>
    <x v="0"/>
    <s v="No"/>
    <s v="-"/>
    <s v="No"/>
    <n v="0"/>
    <n v="1"/>
    <n v="4"/>
  </r>
  <r>
    <n v="3482"/>
    <s v="Natália Soares"/>
    <x v="0"/>
    <x v="250"/>
    <x v="0"/>
    <n v="15"/>
    <x v="1"/>
    <s v="Yes"/>
    <n v="30"/>
    <s v="Yes"/>
    <n v="20"/>
    <n v="3"/>
    <n v="62"/>
  </r>
  <r>
    <n v="3483"/>
    <s v="Oscar Machado"/>
    <x v="2"/>
    <x v="251"/>
    <x v="1"/>
    <n v="10"/>
    <x v="0"/>
    <s v="No"/>
    <s v="-"/>
    <s v="Yes"/>
    <n v="20"/>
    <n v="10"/>
    <n v="20"/>
  </r>
  <r>
    <n v="3484"/>
    <s v="Patrícia Lima"/>
    <x v="1"/>
    <x v="252"/>
    <x v="0"/>
    <n v="5"/>
    <x v="2"/>
    <s v="No"/>
    <s v="-"/>
    <s v="No"/>
    <n v="0"/>
    <n v="0"/>
    <n v="5"/>
  </r>
  <r>
    <n v="3485"/>
    <s v="Quirino Neto"/>
    <x v="0"/>
    <x v="253"/>
    <x v="1"/>
    <n v="15"/>
    <x v="0"/>
    <s v="Yes"/>
    <n v="30"/>
    <s v="Yes"/>
    <n v="20"/>
    <n v="15"/>
    <n v="50"/>
  </r>
  <r>
    <n v="3486"/>
    <s v="Rafaela Souza"/>
    <x v="1"/>
    <x v="254"/>
    <x v="0"/>
    <n v="5"/>
    <x v="0"/>
    <s v="No"/>
    <s v="-"/>
    <s v="No"/>
    <n v="0"/>
    <n v="0"/>
    <n v="5"/>
  </r>
  <r>
    <n v="3487"/>
    <s v="Sandro Almeida"/>
    <x v="0"/>
    <x v="255"/>
    <x v="1"/>
    <n v="15"/>
    <x v="2"/>
    <s v="Yes"/>
    <n v="30"/>
    <s v="Yes"/>
    <n v="20"/>
    <n v="7"/>
    <n v="58"/>
  </r>
  <r>
    <n v="3488"/>
    <s v="Tânia Ribeiro"/>
    <x v="2"/>
    <x v="256"/>
    <x v="0"/>
    <n v="10"/>
    <x v="1"/>
    <s v="No"/>
    <s v="-"/>
    <s v="Yes"/>
    <n v="20"/>
    <n v="10"/>
    <n v="20"/>
  </r>
  <r>
    <n v="3489"/>
    <s v="Ugo Dias"/>
    <x v="1"/>
    <x v="257"/>
    <x v="1"/>
    <n v="5"/>
    <x v="2"/>
    <s v="No"/>
    <s v="-"/>
    <s v="No"/>
    <n v="0"/>
    <n v="1"/>
    <n v="4"/>
  </r>
  <r>
    <n v="3490"/>
    <s v="Valéria Lima"/>
    <x v="0"/>
    <x v="258"/>
    <x v="0"/>
    <n v="15"/>
    <x v="0"/>
    <s v="Yes"/>
    <n v="30"/>
    <s v="Yes"/>
    <n v="20"/>
    <n v="15"/>
    <n v="50"/>
  </r>
  <r>
    <n v="3491"/>
    <s v="William Fernandes"/>
    <x v="2"/>
    <x v="259"/>
    <x v="1"/>
    <n v="10"/>
    <x v="0"/>
    <s v="No"/>
    <s v="-"/>
    <s v="Yes"/>
    <n v="20"/>
    <n v="5"/>
    <n v="25"/>
  </r>
  <r>
    <n v="3492"/>
    <s v="Xuxa Mendes"/>
    <x v="1"/>
    <x v="260"/>
    <x v="0"/>
    <n v="5"/>
    <x v="1"/>
    <s v="No"/>
    <s v="-"/>
    <s v="No"/>
    <n v="0"/>
    <n v="0"/>
    <n v="5"/>
  </r>
  <r>
    <n v="3493"/>
    <s v="Ygor Farias"/>
    <x v="0"/>
    <x v="261"/>
    <x v="1"/>
    <n v="15"/>
    <x v="2"/>
    <s v="Yes"/>
    <n v="30"/>
    <s v="Yes"/>
    <n v="20"/>
    <n v="20"/>
    <n v="45"/>
  </r>
  <r>
    <n v="3494"/>
    <s v="Zilda Barros"/>
    <x v="2"/>
    <x v="262"/>
    <x v="0"/>
    <n v="10"/>
    <x v="2"/>
    <s v="No"/>
    <s v="-"/>
    <s v="Yes"/>
    <n v="20"/>
    <n v="12"/>
    <n v="18"/>
  </r>
  <r>
    <n v="3495"/>
    <s v="Amanda Santos"/>
    <x v="1"/>
    <x v="263"/>
    <x v="1"/>
    <n v="5"/>
    <x v="0"/>
    <s v="No"/>
    <s v="-"/>
    <s v="No"/>
    <n v="0"/>
    <n v="2"/>
    <n v="3"/>
  </r>
  <r>
    <n v="3496"/>
    <s v="Bruno Costa"/>
    <x v="0"/>
    <x v="264"/>
    <x v="0"/>
    <n v="15"/>
    <x v="1"/>
    <s v="Yes"/>
    <n v="30"/>
    <s v="Yes"/>
    <n v="20"/>
    <n v="5"/>
    <n v="60"/>
  </r>
  <r>
    <n v="3497"/>
    <s v="Carla Rodrigues"/>
    <x v="2"/>
    <x v="265"/>
    <x v="1"/>
    <n v="10"/>
    <x v="0"/>
    <s v="No"/>
    <s v="-"/>
    <s v="Yes"/>
    <n v="20"/>
    <n v="10"/>
    <n v="20"/>
  </r>
  <r>
    <n v="3498"/>
    <s v="Diogo Pereira"/>
    <x v="1"/>
    <x v="266"/>
    <x v="0"/>
    <n v="5"/>
    <x v="2"/>
    <s v="No"/>
    <s v="-"/>
    <s v="No"/>
    <n v="0"/>
    <n v="0"/>
    <n v="5"/>
  </r>
  <r>
    <n v="3499"/>
    <s v="Elisa Correia"/>
    <x v="0"/>
    <x v="267"/>
    <x v="1"/>
    <n v="15"/>
    <x v="0"/>
    <s v="Yes"/>
    <n v="30"/>
    <s v="Yes"/>
    <n v="20"/>
    <n v="3"/>
    <n v="62"/>
  </r>
  <r>
    <n v="3500"/>
    <s v="Fábio Lourenço"/>
    <x v="2"/>
    <x v="268"/>
    <x v="0"/>
    <n v="10"/>
    <x v="1"/>
    <s v="No"/>
    <s v="-"/>
    <s v="Yes"/>
    <n v="20"/>
    <n v="15"/>
    <n v="15"/>
  </r>
  <r>
    <n v="3501"/>
    <s v="Gabriela Neves"/>
    <x v="1"/>
    <x v="269"/>
    <x v="1"/>
    <n v="5"/>
    <x v="0"/>
    <s v="No"/>
    <s v="-"/>
    <s v="No"/>
    <n v="0"/>
    <n v="1"/>
    <n v="4"/>
  </r>
  <r>
    <n v="3502"/>
    <s v="Henrique Gonçalves"/>
    <x v="0"/>
    <x v="270"/>
    <x v="0"/>
    <n v="15"/>
    <x v="2"/>
    <s v="Yes"/>
    <n v="30"/>
    <s v="Yes"/>
    <n v="20"/>
    <n v="7"/>
    <n v="58"/>
  </r>
  <r>
    <n v="3503"/>
    <s v="Íris Santos"/>
    <x v="2"/>
    <x v="271"/>
    <x v="1"/>
    <n v="10"/>
    <x v="0"/>
    <s v="No"/>
    <s v="-"/>
    <s v="Yes"/>
    <n v="20"/>
    <n v="10"/>
    <n v="20"/>
  </r>
  <r>
    <n v="3504"/>
    <s v="João Marcelo Alves"/>
    <x v="1"/>
    <x v="272"/>
    <x v="0"/>
    <n v="5"/>
    <x v="1"/>
    <s v="No"/>
    <s v="-"/>
    <s v="No"/>
    <n v="0"/>
    <n v="0"/>
    <n v="5"/>
  </r>
  <r>
    <n v="3505"/>
    <s v="Klara Fonseca"/>
    <x v="0"/>
    <x v="273"/>
    <x v="1"/>
    <n v="15"/>
    <x v="0"/>
    <s v="Yes"/>
    <n v="30"/>
    <s v="Yes"/>
    <n v="20"/>
    <n v="20"/>
    <n v="45"/>
  </r>
  <r>
    <n v="3506"/>
    <s v="Lucas Mendonça"/>
    <x v="2"/>
    <x v="274"/>
    <x v="0"/>
    <n v="10"/>
    <x v="2"/>
    <s v="No"/>
    <s v="-"/>
    <s v="Yes"/>
    <n v="20"/>
    <n v="15"/>
    <n v="15"/>
  </r>
  <r>
    <n v="3507"/>
    <s v="Marcela Torres"/>
    <x v="1"/>
    <x v="275"/>
    <x v="1"/>
    <n v="5"/>
    <x v="0"/>
    <s v="No"/>
    <s v="-"/>
    <s v="No"/>
    <n v="0"/>
    <n v="1"/>
    <n v="4"/>
  </r>
  <r>
    <n v="3508"/>
    <s v="Natália Castro"/>
    <x v="0"/>
    <x v="276"/>
    <x v="0"/>
    <n v="15"/>
    <x v="1"/>
    <s v="Yes"/>
    <n v="30"/>
    <s v="Yes"/>
    <n v="20"/>
    <n v="3"/>
    <n v="62"/>
  </r>
  <r>
    <n v="3509"/>
    <s v="Oscar Martins"/>
    <x v="2"/>
    <x v="277"/>
    <x v="1"/>
    <n v="10"/>
    <x v="0"/>
    <s v="No"/>
    <s v="-"/>
    <s v="Yes"/>
    <n v="20"/>
    <n v="10"/>
    <n v="20"/>
  </r>
  <r>
    <n v="3510"/>
    <s v="Patrícia Oliveira"/>
    <x v="1"/>
    <x v="278"/>
    <x v="0"/>
    <n v="5"/>
    <x v="2"/>
    <s v="No"/>
    <s v="-"/>
    <s v="No"/>
    <n v="0"/>
    <n v="0"/>
    <n v="5"/>
  </r>
  <r>
    <n v="3511"/>
    <s v="Quentin Nogueira"/>
    <x v="0"/>
    <x v="279"/>
    <x v="1"/>
    <n v="15"/>
    <x v="0"/>
    <s v="Yes"/>
    <n v="30"/>
    <s v="Yes"/>
    <n v="20"/>
    <n v="15"/>
    <n v="50"/>
  </r>
  <r>
    <n v="3512"/>
    <s v="Raquel Silva"/>
    <x v="2"/>
    <x v="280"/>
    <x v="0"/>
    <n v="10"/>
    <x v="1"/>
    <s v="No"/>
    <s v="-"/>
    <s v="Yes"/>
    <n v="20"/>
    <n v="15"/>
    <n v="15"/>
  </r>
  <r>
    <n v="3513"/>
    <s v="Sandro Gomes"/>
    <x v="1"/>
    <x v="281"/>
    <x v="1"/>
    <n v="5"/>
    <x v="0"/>
    <s v="No"/>
    <s v="-"/>
    <s v="No"/>
    <n v="0"/>
    <n v="1"/>
    <n v="4"/>
  </r>
  <r>
    <n v="3514"/>
    <s v="Tânia Machado"/>
    <x v="0"/>
    <x v="282"/>
    <x v="0"/>
    <n v="15"/>
    <x v="2"/>
    <s v="Yes"/>
    <n v="30"/>
    <s v="Yes"/>
    <n v="20"/>
    <n v="7"/>
    <n v="58"/>
  </r>
  <r>
    <n v="3515"/>
    <s v="Ursula Silva"/>
    <x v="2"/>
    <x v="283"/>
    <x v="1"/>
    <n v="10"/>
    <x v="0"/>
    <s v="No"/>
    <s v="-"/>
    <s v="Yes"/>
    <n v="20"/>
    <n v="10"/>
    <n v="20"/>
  </r>
  <r>
    <n v="3516"/>
    <s v="Vanessa Moraes"/>
    <x v="1"/>
    <x v="284"/>
    <x v="0"/>
    <n v="5"/>
    <x v="1"/>
    <s v="No"/>
    <s v="-"/>
    <s v="No"/>
    <n v="0"/>
    <n v="0"/>
    <n v="5"/>
  </r>
  <r>
    <n v="3517"/>
    <s v="William Carvalho"/>
    <x v="0"/>
    <x v="285"/>
    <x v="1"/>
    <n v="15"/>
    <x v="0"/>
    <s v="Yes"/>
    <n v="30"/>
    <s v="Yes"/>
    <n v="20"/>
    <n v="20"/>
    <n v="45"/>
  </r>
  <r>
    <n v="3518"/>
    <s v="Xavier Reis"/>
    <x v="2"/>
    <x v="286"/>
    <x v="0"/>
    <n v="10"/>
    <x v="2"/>
    <s v="No"/>
    <s v="-"/>
    <s v="Yes"/>
    <n v="20"/>
    <n v="12"/>
    <n v="18"/>
  </r>
  <r>
    <n v="3519"/>
    <s v="Yasmin Rocha"/>
    <x v="1"/>
    <x v="287"/>
    <x v="1"/>
    <n v="5"/>
    <x v="0"/>
    <s v="No"/>
    <s v="-"/>
    <s v="No"/>
    <n v="0"/>
    <n v="2"/>
    <n v="3"/>
  </r>
  <r>
    <n v="3520"/>
    <s v="Zacarias Duarte"/>
    <x v="0"/>
    <x v="288"/>
    <x v="0"/>
    <n v="15"/>
    <x v="1"/>
    <s v="Yes"/>
    <n v="30"/>
    <s v="Yes"/>
    <n v="20"/>
    <n v="5"/>
    <n v="60"/>
  </r>
  <r>
    <n v="3521"/>
    <s v="Amanda Freitas"/>
    <x v="2"/>
    <x v="289"/>
    <x v="1"/>
    <n v="10"/>
    <x v="0"/>
    <s v="No"/>
    <s v="-"/>
    <s v="Yes"/>
    <n v="20"/>
    <n v="10"/>
    <n v="20"/>
  </r>
  <r>
    <n v="3522"/>
    <s v="Bruno Almeida"/>
    <x v="1"/>
    <x v="290"/>
    <x v="0"/>
    <n v="5"/>
    <x v="2"/>
    <s v="No"/>
    <s v="-"/>
    <s v="No"/>
    <n v="0"/>
    <n v="0"/>
    <n v="5"/>
  </r>
  <r>
    <n v="3523"/>
    <s v="Carla Siqueira"/>
    <x v="0"/>
    <x v="291"/>
    <x v="1"/>
    <n v="15"/>
    <x v="0"/>
    <s v="Yes"/>
    <n v="30"/>
    <s v="Yes"/>
    <n v="20"/>
    <n v="3"/>
    <n v="62"/>
  </r>
  <r>
    <n v="3524"/>
    <s v="Diogo Ramos"/>
    <x v="2"/>
    <x v="292"/>
    <x v="0"/>
    <n v="10"/>
    <x v="1"/>
    <s v="No"/>
    <s v="-"/>
    <s v="Yes"/>
    <n v="20"/>
    <n v="15"/>
    <n v="15"/>
  </r>
  <r>
    <n v="3525"/>
    <s v="Elisa Magalhães"/>
    <x v="1"/>
    <x v="293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D48DC-0427-42C2-9EAA-5A1059C007F1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41:E55" firstHeaderRow="1" firstDataRow="2" firstDataCol="1" rowPageCount="1" colPageCount="1"/>
  <pivotFields count="15">
    <pivotField showAll="0"/>
    <pivotField showAll="0"/>
    <pivotField axis="axisCol" showAll="0">
      <items count="4">
        <item h="1" x="1"/>
        <item h="1" x="2"/>
        <item x="0"/>
        <item t="default"/>
      </items>
    </pivotField>
    <pivotField axis="axisRow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2">
    <i>
      <x v="2"/>
    </i>
    <i t="grand">
      <x/>
    </i>
  </colItems>
  <pageFields count="1">
    <pageField fld="6" item="1" hier="-1"/>
  </pageFields>
  <dataFields count="1">
    <dataField name="Soma de Total Value" fld="12" baseField="0" baseItem="0" numFmtId="44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2A4DC-937D-4229-99DA-C25E3B08F33B}" name="tbl_annual" cacheId="7" applyNumberFormats="0" applyBorderFormats="0" applyFontFormats="0" applyPatternFormats="0" applyAlignmentFormats="0" applyWidthHeightFormats="1" dataCaption="Valores" updatedVersion="8" minRefreshableVersion="3" preserveFormatting="0" useAutoFormatting="1" itemPrintTitles="1" createdVersion="8" indent="0" compact="0" compactData="0" multipleFieldFilters="0" chartFormat="10">
  <location ref="C10:E14" firstHeaderRow="1" firstDataRow="1" firstDataCol="2"/>
  <pivotFields count="15">
    <pivotField compact="0" outline="0" showAll="0"/>
    <pivotField compact="0" outline="0" showAll="0"/>
    <pivotField compact="0" outline="0" showAll="0"/>
    <pivotField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Row" compact="0" outline="0" showAll="0">
      <items count="4">
        <item h="1"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4"/>
  </rowFields>
  <rowItems count="4">
    <i>
      <x v="1"/>
      <x/>
    </i>
    <i r="1">
      <x v="1"/>
    </i>
    <i t="default"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7C090-C73A-43FB-B3DC-BFFDC5EFCB44}" name="Tabela dinâmica4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30:D34" firstHeaderRow="1" firstDataRow="1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Minecraft Season Pass Price" fld="10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03D60-DE62-4D55-BA8E-627D187FE8ED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21:D25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0FC4BFA-14E1-4730-A8A4-277DE16AAB23}" sourceName="Subscription Type">
  <pivotTables>
    <pivotTable tabId="3" name="tbl_annual"/>
    <pivotTable tabId="3" name="Tabela dinâmica2"/>
    <pivotTable tabId="3" name="Tabela dinâmica4"/>
  </pivotTables>
  <data>
    <tabular pivotCacheId="498361753">
      <items count="3">
        <i x="1"/>
        <i x="0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FA4AE7C0-BC94-497A-B72E-BC43F80DBFAE}" sourceName="Plan">
  <pivotTables>
    <pivotTable tabId="3" name="Tabela dinâmica1"/>
  </pivotTables>
  <data>
    <tabular pivotCacheId="498361753">
      <items count="3">
        <i x="1"/>
        <i x="2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0C14E47-7039-4A39-BA26-9C0F12CE663E}" cache="SegmentaçãodeDados_Subscription_Type" caption="Subscription Type" style="SlicerStyleLight6" rowHeight="257175"/>
  <slicer name="Plan" xr10:uid="{78786E02-8562-4A6B-814F-ACDC85DACAA7}" cache="SegmentaçãodeDados_Plan" caption="Plan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4586C3EF-C1D5-435D-9A20-A16C88B3B18B}" cache="SegmentaçãodeDados_Subscription_Type" caption="Subscription Type" style="SlicerStyleLight6 2" rowHeight="257175"/>
  <slicer name="Plan 1" xr10:uid="{2BFAA457-BE3D-4DCB-B4A5-5FAA4DE6E876}" cache="SegmentaçãodeDados_Plan" caption="Plan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 codeName="Planilha1">
    <tabColor theme="3" tint="0.749992370372631"/>
  </sheetPr>
  <dimension ref="B3:P21"/>
  <sheetViews>
    <sheetView showGridLines="0" zoomScaleNormal="100" workbookViewId="0">
      <selection activeCell="C20" sqref="C20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 codeName="Planilha2">
    <tabColor theme="3" tint="0.749992370372631"/>
  </sheetPr>
  <dimension ref="A1:M296"/>
  <sheetViews>
    <sheetView zoomScale="90" zoomScaleNormal="90" workbookViewId="0">
      <selection activeCell="C20" sqref="C20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9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  <col min="14" max="14" width="9.140625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39.7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 codeName="Planilha3">
    <tabColor theme="3" tint="0.749992370372631"/>
  </sheetPr>
  <dimension ref="C10:F55"/>
  <sheetViews>
    <sheetView showGridLines="0" topLeftCell="B19" zoomScale="40" zoomScaleNormal="40" workbookViewId="0">
      <selection activeCell="C20" sqref="C20"/>
    </sheetView>
  </sheetViews>
  <sheetFormatPr defaultRowHeight="15" x14ac:dyDescent="0.25"/>
  <cols>
    <col min="3" max="3" width="29.140625" bestFit="1" customWidth="1"/>
    <col min="4" max="4" width="52.7109375" bestFit="1" customWidth="1"/>
    <col min="5" max="5" width="28.42578125" bestFit="1" customWidth="1"/>
    <col min="6" max="7" width="20.140625" bestFit="1" customWidth="1"/>
    <col min="8" max="8" width="10.85546875" bestFit="1" customWidth="1"/>
    <col min="9" max="12" width="10.7109375" bestFit="1" customWidth="1"/>
    <col min="13" max="13" width="14" bestFit="1" customWidth="1"/>
    <col min="14" max="14" width="12.28515625" bestFit="1" customWidth="1"/>
    <col min="15" max="15" width="10.7109375" bestFit="1" customWidth="1"/>
    <col min="16" max="16" width="12.28515625" bestFit="1" customWidth="1"/>
    <col min="17" max="18" width="9.7109375" bestFit="1" customWidth="1"/>
    <col min="19" max="20" width="10.7109375" bestFit="1" customWidth="1"/>
    <col min="21" max="21" width="13.7109375" bestFit="1" customWidth="1"/>
    <col min="22" max="22" width="12.28515625" bestFit="1" customWidth="1"/>
  </cols>
  <sheetData>
    <row r="10" spans="3:5" x14ac:dyDescent="0.25">
      <c r="C10" s="13" t="s">
        <v>16</v>
      </c>
      <c r="D10" s="13" t="s">
        <v>15</v>
      </c>
      <c r="E10" t="s">
        <v>314</v>
      </c>
    </row>
    <row r="11" spans="3:5" x14ac:dyDescent="0.25">
      <c r="C11" t="s">
        <v>20</v>
      </c>
      <c r="D11" t="s">
        <v>23</v>
      </c>
      <c r="E11" s="12">
        <v>2824</v>
      </c>
    </row>
    <row r="12" spans="3:5" x14ac:dyDescent="0.25">
      <c r="D12" t="s">
        <v>19</v>
      </c>
      <c r="E12" s="12">
        <v>747</v>
      </c>
    </row>
    <row r="13" spans="3:5" x14ac:dyDescent="0.25">
      <c r="C13" t="s">
        <v>334</v>
      </c>
      <c r="E13" s="12">
        <v>3571</v>
      </c>
    </row>
    <row r="14" spans="3:5" x14ac:dyDescent="0.25">
      <c r="C14" t="s">
        <v>313</v>
      </c>
      <c r="E14" s="12">
        <v>3571</v>
      </c>
    </row>
    <row r="19" spans="3:6" x14ac:dyDescent="0.25">
      <c r="C19" s="13" t="s">
        <v>16</v>
      </c>
      <c r="D19" t="s">
        <v>20</v>
      </c>
    </row>
    <row r="21" spans="3:6" x14ac:dyDescent="0.25">
      <c r="C21" s="13" t="s">
        <v>316</v>
      </c>
      <c r="D21" t="s">
        <v>317</v>
      </c>
    </row>
    <row r="22" spans="3:6" x14ac:dyDescent="0.25">
      <c r="C22" s="14" t="s">
        <v>22</v>
      </c>
      <c r="D22" s="21">
        <v>0</v>
      </c>
    </row>
    <row r="23" spans="3:6" x14ac:dyDescent="0.25">
      <c r="C23" s="14" t="s">
        <v>26</v>
      </c>
      <c r="D23" s="21">
        <v>0</v>
      </c>
    </row>
    <row r="24" spans="3:6" x14ac:dyDescent="0.25">
      <c r="C24" s="14" t="s">
        <v>18</v>
      </c>
      <c r="D24" s="21">
        <v>1350</v>
      </c>
    </row>
    <row r="25" spans="3:6" x14ac:dyDescent="0.25">
      <c r="C25" s="14" t="s">
        <v>313</v>
      </c>
      <c r="D25" s="21">
        <v>1350</v>
      </c>
      <c r="F25" s="15">
        <f>GETPIVOTDATA("EA Play Season Pass
Price",$C$21,"Plan","Ultimate")</f>
        <v>1350</v>
      </c>
    </row>
    <row r="30" spans="3:6" x14ac:dyDescent="0.25">
      <c r="C30" s="13" t="s">
        <v>316</v>
      </c>
      <c r="D30" t="s">
        <v>318</v>
      </c>
    </row>
    <row r="31" spans="3:6" x14ac:dyDescent="0.25">
      <c r="C31" s="14" t="s">
        <v>22</v>
      </c>
      <c r="D31" s="12">
        <v>0</v>
      </c>
    </row>
    <row r="32" spans="3:6" x14ac:dyDescent="0.25">
      <c r="C32" s="14" t="s">
        <v>26</v>
      </c>
      <c r="D32" s="12">
        <v>900</v>
      </c>
    </row>
    <row r="33" spans="3:6" x14ac:dyDescent="0.25">
      <c r="C33" s="14" t="s">
        <v>18</v>
      </c>
      <c r="D33" s="12">
        <v>900</v>
      </c>
    </row>
    <row r="34" spans="3:6" x14ac:dyDescent="0.25">
      <c r="C34" s="14" t="s">
        <v>313</v>
      </c>
      <c r="D34" s="12">
        <v>1800</v>
      </c>
      <c r="F34" s="15">
        <f>GETPIVOTDATA("Minecraft Season Pass Price",$C$30)</f>
        <v>1800</v>
      </c>
    </row>
    <row r="39" spans="3:6" x14ac:dyDescent="0.25">
      <c r="C39" s="13" t="s">
        <v>16</v>
      </c>
      <c r="D39" t="s">
        <v>20</v>
      </c>
    </row>
    <row r="41" spans="3:6" x14ac:dyDescent="0.25">
      <c r="C41" s="13" t="s">
        <v>314</v>
      </c>
      <c r="D41" s="13" t="s">
        <v>331</v>
      </c>
    </row>
    <row r="42" spans="3:6" x14ac:dyDescent="0.25">
      <c r="C42" s="13" t="s">
        <v>316</v>
      </c>
      <c r="D42" t="s">
        <v>18</v>
      </c>
      <c r="E42" t="s">
        <v>313</v>
      </c>
    </row>
    <row r="43" spans="3:6" x14ac:dyDescent="0.25">
      <c r="C43" s="14" t="s">
        <v>332</v>
      </c>
      <c r="D43" s="12">
        <v>60</v>
      </c>
      <c r="E43" s="12">
        <v>60</v>
      </c>
    </row>
    <row r="44" spans="3:6" x14ac:dyDescent="0.25">
      <c r="C44" s="14" t="s">
        <v>333</v>
      </c>
      <c r="D44" s="12">
        <v>62</v>
      </c>
      <c r="E44" s="12">
        <v>62</v>
      </c>
    </row>
    <row r="45" spans="3:6" x14ac:dyDescent="0.25">
      <c r="C45" s="14" t="s">
        <v>321</v>
      </c>
      <c r="D45" s="12">
        <v>301</v>
      </c>
      <c r="E45" s="12">
        <v>301</v>
      </c>
    </row>
    <row r="46" spans="3:6" x14ac:dyDescent="0.25">
      <c r="C46" s="14" t="s">
        <v>322</v>
      </c>
      <c r="D46" s="12">
        <v>217</v>
      </c>
      <c r="E46" s="12">
        <v>217</v>
      </c>
    </row>
    <row r="47" spans="3:6" x14ac:dyDescent="0.25">
      <c r="C47" s="14" t="s">
        <v>323</v>
      </c>
      <c r="D47" s="12">
        <v>217</v>
      </c>
      <c r="E47" s="12">
        <v>217</v>
      </c>
    </row>
    <row r="48" spans="3:6" x14ac:dyDescent="0.25">
      <c r="C48" s="14" t="s">
        <v>324</v>
      </c>
      <c r="D48" s="12">
        <v>265</v>
      </c>
      <c r="E48" s="12">
        <v>265</v>
      </c>
    </row>
    <row r="49" spans="3:5" x14ac:dyDescent="0.25">
      <c r="C49" s="14" t="s">
        <v>325</v>
      </c>
      <c r="D49" s="12">
        <v>207</v>
      </c>
      <c r="E49" s="12">
        <v>207</v>
      </c>
    </row>
    <row r="50" spans="3:5" x14ac:dyDescent="0.25">
      <c r="C50" s="14" t="s">
        <v>326</v>
      </c>
      <c r="D50" s="12">
        <v>207</v>
      </c>
      <c r="E50" s="12">
        <v>207</v>
      </c>
    </row>
    <row r="51" spans="3:5" x14ac:dyDescent="0.25">
      <c r="C51" s="14" t="s">
        <v>327</v>
      </c>
      <c r="D51" s="12">
        <v>207</v>
      </c>
      <c r="E51" s="12">
        <v>207</v>
      </c>
    </row>
    <row r="52" spans="3:5" x14ac:dyDescent="0.25">
      <c r="C52" s="14" t="s">
        <v>328</v>
      </c>
      <c r="D52" s="12">
        <v>314</v>
      </c>
      <c r="E52" s="12">
        <v>314</v>
      </c>
    </row>
    <row r="53" spans="3:5" x14ac:dyDescent="0.25">
      <c r="C53" s="14" t="s">
        <v>329</v>
      </c>
      <c r="D53" s="12">
        <v>207</v>
      </c>
      <c r="E53" s="12">
        <v>207</v>
      </c>
    </row>
    <row r="54" spans="3:5" x14ac:dyDescent="0.25">
      <c r="C54" s="14" t="s">
        <v>330</v>
      </c>
      <c r="D54" s="12">
        <v>157</v>
      </c>
      <c r="E54" s="12">
        <v>157</v>
      </c>
    </row>
    <row r="55" spans="3:5" x14ac:dyDescent="0.25">
      <c r="C55" s="14" t="s">
        <v>313</v>
      </c>
      <c r="D55" s="12">
        <v>2421</v>
      </c>
      <c r="E55" s="12">
        <v>2421</v>
      </c>
    </row>
  </sheetData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 codeName="Planilha4"/>
  <dimension ref="A2:AB246"/>
  <sheetViews>
    <sheetView showGridLines="0" showRowColHeaders="0" tabSelected="1" zoomScale="40" zoomScaleNormal="40" workbookViewId="0">
      <selection activeCell="AK43" sqref="AK43"/>
    </sheetView>
  </sheetViews>
  <sheetFormatPr defaultRowHeight="15" x14ac:dyDescent="0.25"/>
  <cols>
    <col min="1" max="1" width="32.140625" style="5" customWidth="1"/>
    <col min="2" max="2" width="3.5703125" customWidth="1"/>
    <col min="12" max="12" width="6.5703125" customWidth="1"/>
  </cols>
  <sheetData>
    <row r="2" spans="1:28" ht="39" customHeight="1" thickBot="1" x14ac:dyDescent="0.35">
      <c r="C2" s="18" t="s">
        <v>315</v>
      </c>
      <c r="D2" s="17"/>
      <c r="E2" s="17"/>
      <c r="F2" s="17"/>
      <c r="G2" s="17"/>
      <c r="H2" s="17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 ht="8.25" customHeight="1" thickTop="1" x14ac:dyDescent="0.25"/>
    <row r="4" spans="1:28" s="7" customFormat="1" ht="7.5" customHeight="1" x14ac:dyDescent="0.25">
      <c r="A4" s="5"/>
    </row>
    <row r="5" spans="1:28" s="7" customFormat="1" ht="10.5" customHeight="1" x14ac:dyDescent="0.25">
      <c r="A5" s="5"/>
    </row>
    <row r="6" spans="1:28" s="7" customFormat="1" ht="9.75" customHeight="1" x14ac:dyDescent="0.25">
      <c r="A6" s="5"/>
    </row>
    <row r="7" spans="1:28" s="7" customFormat="1" ht="33" customHeight="1" x14ac:dyDescent="0.25">
      <c r="A7" s="5"/>
    </row>
    <row r="8" spans="1:28" s="7" customFormat="1" ht="15.75" x14ac:dyDescent="0.25">
      <c r="A8" s="19" t="s">
        <v>319</v>
      </c>
    </row>
    <row r="9" spans="1:28" s="7" customFormat="1" x14ac:dyDescent="0.25">
      <c r="A9" s="5"/>
    </row>
    <row r="10" spans="1:28" s="7" customFormat="1" x14ac:dyDescent="0.25">
      <c r="A10" s="5"/>
    </row>
    <row r="11" spans="1:28" s="7" customFormat="1" x14ac:dyDescent="0.25">
      <c r="A11" s="5"/>
    </row>
    <row r="12" spans="1:28" s="7" customFormat="1" x14ac:dyDescent="0.25">
      <c r="A12" s="5"/>
    </row>
    <row r="13" spans="1:28" s="7" customFormat="1" x14ac:dyDescent="0.25">
      <c r="A13" s="5"/>
    </row>
    <row r="14" spans="1:28" s="7" customFormat="1" x14ac:dyDescent="0.25">
      <c r="A14" s="5"/>
    </row>
    <row r="15" spans="1:28" s="7" customFormat="1" x14ac:dyDescent="0.25">
      <c r="A15" s="5"/>
    </row>
    <row r="16" spans="1:28" s="7" customFormat="1" x14ac:dyDescent="0.25">
      <c r="A16" s="5"/>
    </row>
    <row r="17" spans="1:1" s="7" customFormat="1" x14ac:dyDescent="0.25">
      <c r="A17" s="5"/>
    </row>
    <row r="18" spans="1:1" s="7" customFormat="1" x14ac:dyDescent="0.25">
      <c r="A18" s="5"/>
    </row>
    <row r="19" spans="1:1" s="7" customFormat="1" x14ac:dyDescent="0.25">
      <c r="A19" s="5"/>
    </row>
    <row r="20" spans="1:1" s="7" customFormat="1" x14ac:dyDescent="0.25">
      <c r="A20" s="5"/>
    </row>
    <row r="21" spans="1:1" s="7" customFormat="1" x14ac:dyDescent="0.25">
      <c r="A21" s="5"/>
    </row>
    <row r="22" spans="1:1" s="7" customFormat="1" x14ac:dyDescent="0.25">
      <c r="A22" s="5"/>
    </row>
    <row r="23" spans="1:1" s="7" customFormat="1" x14ac:dyDescent="0.25">
      <c r="A23" s="5"/>
    </row>
    <row r="24" spans="1:1" s="7" customFormat="1" x14ac:dyDescent="0.25">
      <c r="A24" s="5"/>
    </row>
    <row r="25" spans="1:1" s="7" customFormat="1" x14ac:dyDescent="0.25">
      <c r="A25" s="5"/>
    </row>
    <row r="26" spans="1:1" s="7" customFormat="1" x14ac:dyDescent="0.25">
      <c r="A26" s="5"/>
    </row>
    <row r="27" spans="1:1" s="7" customFormat="1" x14ac:dyDescent="0.25">
      <c r="A27" s="5"/>
    </row>
    <row r="28" spans="1:1" s="7" customFormat="1" x14ac:dyDescent="0.25">
      <c r="A28" s="5"/>
    </row>
    <row r="29" spans="1:1" s="7" customFormat="1" x14ac:dyDescent="0.25">
      <c r="A29" s="5"/>
    </row>
    <row r="30" spans="1:1" s="7" customFormat="1" x14ac:dyDescent="0.25">
      <c r="A30" s="5"/>
    </row>
    <row r="31" spans="1:1" s="7" customFormat="1" x14ac:dyDescent="0.25">
      <c r="A31" s="5"/>
    </row>
    <row r="32" spans="1:1" s="7" customFormat="1" x14ac:dyDescent="0.25">
      <c r="A32" s="5"/>
    </row>
    <row r="33" spans="1:3" s="7" customFormat="1" x14ac:dyDescent="0.25">
      <c r="A33" s="5"/>
    </row>
    <row r="34" spans="1:3" s="7" customFormat="1" x14ac:dyDescent="0.25">
      <c r="A34" s="5"/>
    </row>
    <row r="35" spans="1:3" s="7" customFormat="1" x14ac:dyDescent="0.25">
      <c r="A35" s="5"/>
    </row>
    <row r="36" spans="1:3" s="7" customFormat="1" x14ac:dyDescent="0.25">
      <c r="A36" s="5"/>
    </row>
    <row r="37" spans="1:3" s="7" customFormat="1" x14ac:dyDescent="0.25">
      <c r="A37" s="5"/>
    </row>
    <row r="38" spans="1:3" s="7" customFormat="1" ht="18" x14ac:dyDescent="0.25">
      <c r="A38" s="5"/>
      <c r="C38" s="20" t="s">
        <v>320</v>
      </c>
    </row>
    <row r="39" spans="1:3" s="7" customFormat="1" x14ac:dyDescent="0.25">
      <c r="A39" s="5"/>
    </row>
    <row r="40" spans="1:3" s="7" customFormat="1" x14ac:dyDescent="0.25">
      <c r="A40" s="5"/>
    </row>
    <row r="41" spans="1:3" s="7" customFormat="1" x14ac:dyDescent="0.25">
      <c r="A41" s="5"/>
    </row>
    <row r="42" spans="1:3" s="7" customFormat="1" x14ac:dyDescent="0.25">
      <c r="A42" s="5"/>
    </row>
    <row r="43" spans="1:3" s="7" customFormat="1" x14ac:dyDescent="0.25">
      <c r="A43" s="5"/>
    </row>
    <row r="44" spans="1:3" s="7" customFormat="1" x14ac:dyDescent="0.25">
      <c r="A44" s="5"/>
    </row>
    <row r="45" spans="1:3" s="7" customFormat="1" x14ac:dyDescent="0.25">
      <c r="A45" s="5"/>
    </row>
    <row r="46" spans="1:3" s="7" customFormat="1" x14ac:dyDescent="0.25">
      <c r="A46" s="5"/>
    </row>
    <row r="47" spans="1:3" s="7" customFormat="1" x14ac:dyDescent="0.25">
      <c r="A47" s="5"/>
    </row>
    <row r="48" spans="1:3" s="7" customFormat="1" x14ac:dyDescent="0.25">
      <c r="A48" s="5"/>
    </row>
    <row r="49" spans="1:1" s="7" customFormat="1" x14ac:dyDescent="0.25">
      <c r="A49" s="5"/>
    </row>
    <row r="50" spans="1:1" s="7" customFormat="1" x14ac:dyDescent="0.25">
      <c r="A50" s="5"/>
    </row>
    <row r="51" spans="1:1" s="7" customFormat="1" x14ac:dyDescent="0.25">
      <c r="A51" s="5"/>
    </row>
    <row r="52" spans="1:1" s="7" customFormat="1" x14ac:dyDescent="0.25">
      <c r="A52" s="5"/>
    </row>
    <row r="53" spans="1:1" s="7" customFormat="1" x14ac:dyDescent="0.25">
      <c r="A53" s="5"/>
    </row>
    <row r="54" spans="1:1" s="7" customFormat="1" x14ac:dyDescent="0.25">
      <c r="A54" s="5"/>
    </row>
    <row r="55" spans="1:1" s="7" customFormat="1" x14ac:dyDescent="0.25">
      <c r="A55" s="5"/>
    </row>
    <row r="56" spans="1:1" s="7" customFormat="1" x14ac:dyDescent="0.25">
      <c r="A56" s="5"/>
    </row>
    <row r="57" spans="1:1" s="7" customFormat="1" x14ac:dyDescent="0.25">
      <c r="A57" s="5"/>
    </row>
    <row r="58" spans="1:1" s="7" customFormat="1" x14ac:dyDescent="0.25">
      <c r="A58" s="5"/>
    </row>
    <row r="59" spans="1:1" s="7" customFormat="1" x14ac:dyDescent="0.25">
      <c r="A59" s="5"/>
    </row>
    <row r="60" spans="1:1" s="7" customFormat="1" x14ac:dyDescent="0.25">
      <c r="A60" s="5"/>
    </row>
    <row r="61" spans="1:1" s="7" customFormat="1" x14ac:dyDescent="0.25">
      <c r="A61" s="5"/>
    </row>
    <row r="62" spans="1:1" s="7" customFormat="1" x14ac:dyDescent="0.25">
      <c r="A62" s="5"/>
    </row>
    <row r="63" spans="1:1" s="7" customFormat="1" x14ac:dyDescent="0.25">
      <c r="A63" s="5"/>
    </row>
    <row r="64" spans="1:1" s="7" customFormat="1" x14ac:dyDescent="0.25">
      <c r="A64" s="5"/>
    </row>
    <row r="65" spans="1:1" s="7" customFormat="1" x14ac:dyDescent="0.25">
      <c r="A65" s="5"/>
    </row>
    <row r="66" spans="1:1" s="7" customFormat="1" x14ac:dyDescent="0.25">
      <c r="A66" s="5"/>
    </row>
    <row r="67" spans="1:1" s="7" customFormat="1" x14ac:dyDescent="0.25">
      <c r="A67" s="5"/>
    </row>
    <row r="68" spans="1:1" s="7" customFormat="1" x14ac:dyDescent="0.25">
      <c r="A68" s="5"/>
    </row>
    <row r="69" spans="1:1" s="7" customFormat="1" x14ac:dyDescent="0.25">
      <c r="A69" s="5"/>
    </row>
    <row r="70" spans="1:1" s="7" customFormat="1" x14ac:dyDescent="0.25">
      <c r="A70" s="5"/>
    </row>
    <row r="71" spans="1:1" s="7" customFormat="1" x14ac:dyDescent="0.25">
      <c r="A71" s="5"/>
    </row>
    <row r="72" spans="1:1" s="7" customFormat="1" x14ac:dyDescent="0.25">
      <c r="A72" s="5"/>
    </row>
    <row r="73" spans="1:1" s="7" customFormat="1" x14ac:dyDescent="0.25">
      <c r="A73" s="5"/>
    </row>
    <row r="74" spans="1:1" s="7" customFormat="1" x14ac:dyDescent="0.25">
      <c r="A74" s="5"/>
    </row>
    <row r="75" spans="1:1" s="7" customFormat="1" x14ac:dyDescent="0.25">
      <c r="A75" s="5"/>
    </row>
    <row r="76" spans="1:1" s="7" customFormat="1" x14ac:dyDescent="0.25">
      <c r="A76" s="5"/>
    </row>
    <row r="77" spans="1:1" s="7" customFormat="1" x14ac:dyDescent="0.25">
      <c r="A77" s="5"/>
    </row>
    <row r="78" spans="1:1" s="7" customFormat="1" x14ac:dyDescent="0.25">
      <c r="A78" s="5"/>
    </row>
    <row r="79" spans="1:1" s="7" customFormat="1" x14ac:dyDescent="0.25">
      <c r="A79" s="5"/>
    </row>
    <row r="80" spans="1:1" s="7" customFormat="1" x14ac:dyDescent="0.25">
      <c r="A80" s="5"/>
    </row>
    <row r="81" spans="1:1" s="7" customFormat="1" x14ac:dyDescent="0.25">
      <c r="A81" s="5"/>
    </row>
    <row r="82" spans="1:1" s="7" customFormat="1" x14ac:dyDescent="0.25">
      <c r="A82" s="5"/>
    </row>
    <row r="83" spans="1:1" s="7" customFormat="1" x14ac:dyDescent="0.25">
      <c r="A83" s="5"/>
    </row>
    <row r="84" spans="1:1" s="7" customFormat="1" x14ac:dyDescent="0.25">
      <c r="A84" s="5"/>
    </row>
    <row r="85" spans="1:1" s="7" customFormat="1" x14ac:dyDescent="0.25">
      <c r="A85" s="5"/>
    </row>
    <row r="86" spans="1:1" s="7" customFormat="1" x14ac:dyDescent="0.25">
      <c r="A86" s="5"/>
    </row>
    <row r="87" spans="1:1" s="7" customFormat="1" x14ac:dyDescent="0.25">
      <c r="A87" s="5"/>
    </row>
    <row r="88" spans="1:1" s="7" customFormat="1" x14ac:dyDescent="0.25">
      <c r="A88" s="5"/>
    </row>
    <row r="89" spans="1:1" s="7" customFormat="1" x14ac:dyDescent="0.25">
      <c r="A89" s="5"/>
    </row>
    <row r="90" spans="1:1" s="7" customFormat="1" x14ac:dyDescent="0.25">
      <c r="A90" s="5"/>
    </row>
    <row r="91" spans="1:1" s="7" customFormat="1" x14ac:dyDescent="0.25">
      <c r="A91" s="5"/>
    </row>
    <row r="92" spans="1:1" s="7" customFormat="1" x14ac:dyDescent="0.25">
      <c r="A92" s="5"/>
    </row>
    <row r="93" spans="1:1" s="7" customFormat="1" x14ac:dyDescent="0.25">
      <c r="A93" s="5"/>
    </row>
    <row r="94" spans="1:1" s="7" customFormat="1" x14ac:dyDescent="0.25">
      <c r="A94" s="5"/>
    </row>
    <row r="95" spans="1:1" s="7" customFormat="1" x14ac:dyDescent="0.25">
      <c r="A95" s="5"/>
    </row>
    <row r="96" spans="1:1" s="7" customFormat="1" x14ac:dyDescent="0.25">
      <c r="A96" s="5"/>
    </row>
    <row r="97" spans="1:1" s="7" customFormat="1" x14ac:dyDescent="0.25">
      <c r="A97" s="5"/>
    </row>
    <row r="98" spans="1:1" s="7" customFormat="1" x14ac:dyDescent="0.25">
      <c r="A98" s="5"/>
    </row>
    <row r="99" spans="1:1" s="7" customFormat="1" x14ac:dyDescent="0.25">
      <c r="A99" s="5"/>
    </row>
    <row r="100" spans="1:1" s="7" customFormat="1" x14ac:dyDescent="0.25">
      <c r="A100" s="5"/>
    </row>
    <row r="101" spans="1:1" s="7" customFormat="1" x14ac:dyDescent="0.25">
      <c r="A101" s="5"/>
    </row>
    <row r="102" spans="1:1" s="7" customFormat="1" x14ac:dyDescent="0.25">
      <c r="A102" s="5"/>
    </row>
    <row r="103" spans="1:1" s="7" customFormat="1" x14ac:dyDescent="0.25">
      <c r="A103" s="5"/>
    </row>
    <row r="104" spans="1:1" s="7" customFormat="1" x14ac:dyDescent="0.25">
      <c r="A104" s="5"/>
    </row>
    <row r="105" spans="1:1" s="7" customFormat="1" x14ac:dyDescent="0.25">
      <c r="A105" s="5"/>
    </row>
    <row r="106" spans="1:1" s="7" customFormat="1" x14ac:dyDescent="0.25">
      <c r="A106" s="5"/>
    </row>
    <row r="107" spans="1:1" s="7" customFormat="1" x14ac:dyDescent="0.25">
      <c r="A107" s="5"/>
    </row>
    <row r="108" spans="1:1" s="7" customFormat="1" x14ac:dyDescent="0.25">
      <c r="A108" s="5"/>
    </row>
    <row r="109" spans="1:1" s="7" customFormat="1" x14ac:dyDescent="0.25">
      <c r="A109" s="5"/>
    </row>
    <row r="110" spans="1:1" s="7" customFormat="1" x14ac:dyDescent="0.25">
      <c r="A110" s="5"/>
    </row>
    <row r="111" spans="1:1" s="7" customFormat="1" x14ac:dyDescent="0.25">
      <c r="A111" s="5"/>
    </row>
    <row r="112" spans="1:1" s="7" customFormat="1" x14ac:dyDescent="0.25">
      <c r="A112" s="5"/>
    </row>
    <row r="113" spans="1:1" s="7" customFormat="1" x14ac:dyDescent="0.25">
      <c r="A113" s="5"/>
    </row>
    <row r="114" spans="1:1" s="7" customFormat="1" x14ac:dyDescent="0.25">
      <c r="A114" s="5"/>
    </row>
    <row r="115" spans="1:1" s="7" customFormat="1" x14ac:dyDescent="0.25">
      <c r="A115" s="5"/>
    </row>
    <row r="116" spans="1:1" s="7" customFormat="1" x14ac:dyDescent="0.25">
      <c r="A116" s="5"/>
    </row>
    <row r="117" spans="1:1" s="7" customFormat="1" x14ac:dyDescent="0.25">
      <c r="A117" s="5"/>
    </row>
    <row r="118" spans="1:1" s="7" customFormat="1" x14ac:dyDescent="0.25">
      <c r="A118" s="5"/>
    </row>
    <row r="119" spans="1:1" s="7" customFormat="1" x14ac:dyDescent="0.25">
      <c r="A119" s="5"/>
    </row>
    <row r="120" spans="1:1" s="7" customFormat="1" x14ac:dyDescent="0.25">
      <c r="A120" s="5"/>
    </row>
    <row r="121" spans="1:1" s="7" customFormat="1" x14ac:dyDescent="0.25">
      <c r="A121" s="5"/>
    </row>
    <row r="122" spans="1:1" s="7" customFormat="1" x14ac:dyDescent="0.25">
      <c r="A122" s="5"/>
    </row>
    <row r="123" spans="1:1" s="7" customFormat="1" x14ac:dyDescent="0.25">
      <c r="A123" s="5"/>
    </row>
    <row r="124" spans="1:1" s="7" customFormat="1" x14ac:dyDescent="0.25">
      <c r="A124" s="5"/>
    </row>
    <row r="125" spans="1:1" s="7" customFormat="1" x14ac:dyDescent="0.25">
      <c r="A125" s="5"/>
    </row>
    <row r="126" spans="1:1" s="7" customFormat="1" x14ac:dyDescent="0.25">
      <c r="A126" s="5"/>
    </row>
    <row r="127" spans="1:1" s="7" customFormat="1" x14ac:dyDescent="0.25">
      <c r="A127" s="5"/>
    </row>
    <row r="128" spans="1:1" s="7" customFormat="1" x14ac:dyDescent="0.25">
      <c r="A128" s="5"/>
    </row>
    <row r="129" spans="1:1" s="7" customFormat="1" x14ac:dyDescent="0.25">
      <c r="A129" s="5"/>
    </row>
    <row r="130" spans="1:1" s="7" customFormat="1" x14ac:dyDescent="0.25">
      <c r="A130" s="5"/>
    </row>
    <row r="131" spans="1:1" s="7" customFormat="1" x14ac:dyDescent="0.25">
      <c r="A131" s="5"/>
    </row>
    <row r="132" spans="1:1" s="7" customFormat="1" x14ac:dyDescent="0.25">
      <c r="A132" s="5"/>
    </row>
    <row r="133" spans="1:1" s="7" customFormat="1" x14ac:dyDescent="0.25">
      <c r="A133" s="5"/>
    </row>
    <row r="134" spans="1:1" s="7" customFormat="1" x14ac:dyDescent="0.25">
      <c r="A134" s="5"/>
    </row>
    <row r="135" spans="1:1" s="7" customFormat="1" x14ac:dyDescent="0.25">
      <c r="A135" s="5"/>
    </row>
    <row r="136" spans="1:1" s="7" customFormat="1" x14ac:dyDescent="0.25">
      <c r="A136" s="5"/>
    </row>
    <row r="137" spans="1:1" s="7" customFormat="1" x14ac:dyDescent="0.25">
      <c r="A137" s="5"/>
    </row>
    <row r="138" spans="1:1" s="7" customFormat="1" x14ac:dyDescent="0.25">
      <c r="A138" s="5"/>
    </row>
    <row r="139" spans="1:1" s="7" customFormat="1" x14ac:dyDescent="0.25">
      <c r="A139" s="5"/>
    </row>
    <row r="140" spans="1:1" s="7" customFormat="1" x14ac:dyDescent="0.25">
      <c r="A140" s="5"/>
    </row>
    <row r="141" spans="1:1" s="7" customFormat="1" x14ac:dyDescent="0.25">
      <c r="A141" s="5"/>
    </row>
    <row r="142" spans="1:1" s="7" customFormat="1" x14ac:dyDescent="0.25">
      <c r="A142" s="5"/>
    </row>
    <row r="143" spans="1:1" s="7" customFormat="1" x14ac:dyDescent="0.25">
      <c r="A143" s="5"/>
    </row>
    <row r="144" spans="1:1" s="7" customFormat="1" x14ac:dyDescent="0.25">
      <c r="A144" s="5"/>
    </row>
    <row r="145" spans="1:1" s="7" customFormat="1" x14ac:dyDescent="0.25">
      <c r="A145" s="5"/>
    </row>
    <row r="146" spans="1:1" s="7" customFormat="1" x14ac:dyDescent="0.25">
      <c r="A146" s="5"/>
    </row>
    <row r="147" spans="1:1" s="7" customFormat="1" x14ac:dyDescent="0.25">
      <c r="A147" s="5"/>
    </row>
    <row r="148" spans="1:1" s="7" customFormat="1" x14ac:dyDescent="0.25">
      <c r="A148" s="5"/>
    </row>
    <row r="149" spans="1:1" s="7" customFormat="1" x14ac:dyDescent="0.25">
      <c r="A149" s="5"/>
    </row>
    <row r="150" spans="1:1" s="7" customFormat="1" x14ac:dyDescent="0.25">
      <c r="A150" s="5"/>
    </row>
    <row r="151" spans="1:1" s="7" customFormat="1" x14ac:dyDescent="0.25">
      <c r="A151" s="5"/>
    </row>
    <row r="152" spans="1:1" s="7" customFormat="1" x14ac:dyDescent="0.25">
      <c r="A152" s="5"/>
    </row>
    <row r="153" spans="1:1" s="7" customFormat="1" x14ac:dyDescent="0.25">
      <c r="A153" s="5"/>
    </row>
    <row r="154" spans="1:1" s="7" customFormat="1" x14ac:dyDescent="0.25">
      <c r="A154" s="5"/>
    </row>
    <row r="155" spans="1:1" s="7" customFormat="1" x14ac:dyDescent="0.25">
      <c r="A155" s="5"/>
    </row>
    <row r="156" spans="1:1" s="7" customFormat="1" x14ac:dyDescent="0.25">
      <c r="A156" s="5"/>
    </row>
    <row r="157" spans="1:1" s="7" customFormat="1" x14ac:dyDescent="0.25">
      <c r="A157" s="5"/>
    </row>
    <row r="158" spans="1:1" s="7" customFormat="1" x14ac:dyDescent="0.25">
      <c r="A158" s="5"/>
    </row>
    <row r="159" spans="1:1" s="7" customFormat="1" x14ac:dyDescent="0.25">
      <c r="A159" s="5"/>
    </row>
    <row r="160" spans="1:1" s="7" customFormat="1" x14ac:dyDescent="0.25">
      <c r="A160" s="5"/>
    </row>
    <row r="161" spans="1:1" s="7" customFormat="1" x14ac:dyDescent="0.25">
      <c r="A161" s="5"/>
    </row>
    <row r="162" spans="1:1" s="7" customFormat="1" x14ac:dyDescent="0.25">
      <c r="A162" s="5"/>
    </row>
    <row r="163" spans="1:1" s="7" customFormat="1" x14ac:dyDescent="0.25">
      <c r="A163" s="5"/>
    </row>
    <row r="164" spans="1:1" s="7" customFormat="1" x14ac:dyDescent="0.25">
      <c r="A164" s="5"/>
    </row>
    <row r="165" spans="1:1" s="7" customFormat="1" x14ac:dyDescent="0.25">
      <c r="A165" s="5"/>
    </row>
    <row r="166" spans="1:1" s="7" customFormat="1" x14ac:dyDescent="0.25">
      <c r="A166" s="5"/>
    </row>
    <row r="167" spans="1:1" s="7" customFormat="1" x14ac:dyDescent="0.25">
      <c r="A167" s="5"/>
    </row>
    <row r="168" spans="1:1" s="7" customFormat="1" x14ac:dyDescent="0.25">
      <c r="A168" s="5"/>
    </row>
    <row r="169" spans="1:1" s="7" customFormat="1" x14ac:dyDescent="0.25">
      <c r="A169" s="5"/>
    </row>
    <row r="170" spans="1:1" s="7" customFormat="1" x14ac:dyDescent="0.25">
      <c r="A170" s="5"/>
    </row>
    <row r="171" spans="1:1" s="7" customFormat="1" x14ac:dyDescent="0.25">
      <c r="A171" s="5"/>
    </row>
    <row r="172" spans="1:1" s="7" customFormat="1" x14ac:dyDescent="0.25">
      <c r="A172" s="5"/>
    </row>
    <row r="173" spans="1:1" s="7" customFormat="1" x14ac:dyDescent="0.25">
      <c r="A173" s="5"/>
    </row>
    <row r="174" spans="1:1" s="7" customFormat="1" x14ac:dyDescent="0.25">
      <c r="A174" s="5"/>
    </row>
    <row r="175" spans="1:1" s="7" customFormat="1" x14ac:dyDescent="0.25">
      <c r="A175" s="5"/>
    </row>
    <row r="176" spans="1:1" s="7" customFormat="1" x14ac:dyDescent="0.25">
      <c r="A176" s="5"/>
    </row>
    <row r="177" spans="1:1" s="7" customFormat="1" x14ac:dyDescent="0.25">
      <c r="A177" s="5"/>
    </row>
    <row r="178" spans="1:1" s="7" customFormat="1" x14ac:dyDescent="0.25">
      <c r="A178" s="5"/>
    </row>
    <row r="179" spans="1:1" s="7" customFormat="1" x14ac:dyDescent="0.25">
      <c r="A179" s="5"/>
    </row>
    <row r="180" spans="1:1" s="7" customFormat="1" x14ac:dyDescent="0.25">
      <c r="A180" s="5"/>
    </row>
    <row r="181" spans="1:1" s="7" customFormat="1" x14ac:dyDescent="0.25">
      <c r="A181" s="5"/>
    </row>
    <row r="182" spans="1:1" s="7" customFormat="1" x14ac:dyDescent="0.25">
      <c r="A182" s="5"/>
    </row>
    <row r="183" spans="1:1" s="7" customFormat="1" x14ac:dyDescent="0.25">
      <c r="A183" s="5"/>
    </row>
    <row r="184" spans="1:1" s="7" customFormat="1" x14ac:dyDescent="0.25">
      <c r="A184" s="5"/>
    </row>
    <row r="185" spans="1:1" s="7" customFormat="1" x14ac:dyDescent="0.25">
      <c r="A185" s="5"/>
    </row>
    <row r="186" spans="1:1" s="7" customFormat="1" x14ac:dyDescent="0.25">
      <c r="A186" s="5"/>
    </row>
    <row r="187" spans="1:1" s="7" customFormat="1" x14ac:dyDescent="0.25">
      <c r="A187" s="5"/>
    </row>
    <row r="188" spans="1:1" s="7" customFormat="1" x14ac:dyDescent="0.25">
      <c r="A188" s="5"/>
    </row>
    <row r="189" spans="1:1" s="7" customFormat="1" x14ac:dyDescent="0.25">
      <c r="A189" s="5"/>
    </row>
    <row r="190" spans="1:1" s="7" customFormat="1" x14ac:dyDescent="0.25">
      <c r="A190" s="5"/>
    </row>
    <row r="191" spans="1:1" s="7" customFormat="1" x14ac:dyDescent="0.25">
      <c r="A191" s="5"/>
    </row>
    <row r="192" spans="1:1" s="7" customFormat="1" x14ac:dyDescent="0.25">
      <c r="A192" s="5"/>
    </row>
    <row r="193" spans="1:1" s="7" customFormat="1" x14ac:dyDescent="0.25">
      <c r="A193" s="5"/>
    </row>
    <row r="194" spans="1:1" s="7" customFormat="1" x14ac:dyDescent="0.25">
      <c r="A194" s="5"/>
    </row>
    <row r="195" spans="1:1" s="7" customFormat="1" x14ac:dyDescent="0.25">
      <c r="A195" s="5"/>
    </row>
    <row r="196" spans="1:1" s="7" customFormat="1" x14ac:dyDescent="0.25">
      <c r="A196" s="5"/>
    </row>
    <row r="197" spans="1:1" s="7" customFormat="1" x14ac:dyDescent="0.25">
      <c r="A197" s="5"/>
    </row>
    <row r="198" spans="1:1" s="7" customFormat="1" x14ac:dyDescent="0.25">
      <c r="A198" s="5"/>
    </row>
    <row r="199" spans="1:1" s="7" customFormat="1" x14ac:dyDescent="0.25">
      <c r="A199" s="5"/>
    </row>
    <row r="200" spans="1:1" s="7" customFormat="1" x14ac:dyDescent="0.25">
      <c r="A200" s="5"/>
    </row>
    <row r="201" spans="1:1" s="7" customFormat="1" x14ac:dyDescent="0.25">
      <c r="A201" s="5"/>
    </row>
    <row r="202" spans="1:1" s="7" customFormat="1" x14ac:dyDescent="0.25">
      <c r="A202" s="5"/>
    </row>
    <row r="203" spans="1:1" s="7" customFormat="1" x14ac:dyDescent="0.25">
      <c r="A203" s="5"/>
    </row>
    <row r="204" spans="1:1" s="7" customFormat="1" x14ac:dyDescent="0.25">
      <c r="A204" s="5"/>
    </row>
    <row r="205" spans="1:1" s="7" customFormat="1" x14ac:dyDescent="0.25">
      <c r="A205" s="5"/>
    </row>
    <row r="206" spans="1:1" s="7" customFormat="1" x14ac:dyDescent="0.25">
      <c r="A206" s="5"/>
    </row>
    <row r="207" spans="1:1" s="7" customFormat="1" x14ac:dyDescent="0.25">
      <c r="A207" s="5"/>
    </row>
    <row r="208" spans="1:1" s="7" customFormat="1" x14ac:dyDescent="0.25">
      <c r="A208" s="5"/>
    </row>
    <row r="209" spans="1:1" s="7" customFormat="1" x14ac:dyDescent="0.25">
      <c r="A209" s="5"/>
    </row>
    <row r="210" spans="1:1" s="7" customFormat="1" x14ac:dyDescent="0.25">
      <c r="A210" s="5"/>
    </row>
    <row r="211" spans="1:1" s="7" customFormat="1" x14ac:dyDescent="0.25">
      <c r="A211" s="5"/>
    </row>
    <row r="212" spans="1:1" s="7" customFormat="1" x14ac:dyDescent="0.25">
      <c r="A212" s="5"/>
    </row>
    <row r="213" spans="1:1" s="7" customFormat="1" x14ac:dyDescent="0.25">
      <c r="A213" s="5"/>
    </row>
    <row r="214" spans="1:1" s="7" customFormat="1" x14ac:dyDescent="0.25">
      <c r="A214" s="5"/>
    </row>
    <row r="215" spans="1:1" s="7" customFormat="1" x14ac:dyDescent="0.25">
      <c r="A215" s="5"/>
    </row>
    <row r="216" spans="1:1" s="7" customFormat="1" x14ac:dyDescent="0.25">
      <c r="A216" s="5"/>
    </row>
    <row r="217" spans="1:1" s="7" customFormat="1" x14ac:dyDescent="0.25">
      <c r="A217" s="5"/>
    </row>
    <row r="218" spans="1:1" s="7" customFormat="1" x14ac:dyDescent="0.25">
      <c r="A218" s="5"/>
    </row>
    <row r="219" spans="1:1" s="7" customFormat="1" x14ac:dyDescent="0.25">
      <c r="A219" s="5"/>
    </row>
    <row r="220" spans="1:1" s="7" customFormat="1" x14ac:dyDescent="0.25">
      <c r="A220" s="5"/>
    </row>
    <row r="221" spans="1:1" s="7" customFormat="1" x14ac:dyDescent="0.25">
      <c r="A221" s="5"/>
    </row>
    <row r="222" spans="1:1" s="7" customFormat="1" x14ac:dyDescent="0.25">
      <c r="A222" s="5"/>
    </row>
    <row r="223" spans="1:1" s="7" customFormat="1" x14ac:dyDescent="0.25">
      <c r="A223" s="5"/>
    </row>
    <row r="224" spans="1:1" s="7" customFormat="1" x14ac:dyDescent="0.25">
      <c r="A224" s="5"/>
    </row>
    <row r="225" spans="1:1" s="7" customFormat="1" x14ac:dyDescent="0.25">
      <c r="A225" s="5"/>
    </row>
    <row r="226" spans="1:1" s="7" customFormat="1" x14ac:dyDescent="0.25">
      <c r="A226" s="5"/>
    </row>
    <row r="227" spans="1:1" s="7" customFormat="1" x14ac:dyDescent="0.25">
      <c r="A227" s="5"/>
    </row>
    <row r="228" spans="1:1" s="7" customFormat="1" x14ac:dyDescent="0.25">
      <c r="A228" s="5"/>
    </row>
    <row r="229" spans="1:1" s="7" customFormat="1" x14ac:dyDescent="0.25">
      <c r="A229" s="5"/>
    </row>
    <row r="230" spans="1:1" s="7" customFormat="1" x14ac:dyDescent="0.25">
      <c r="A230" s="5"/>
    </row>
    <row r="231" spans="1:1" s="7" customFormat="1" x14ac:dyDescent="0.25">
      <c r="A231" s="5"/>
    </row>
    <row r="232" spans="1:1" s="7" customFormat="1" x14ac:dyDescent="0.25">
      <c r="A232" s="5"/>
    </row>
    <row r="233" spans="1:1" s="7" customFormat="1" x14ac:dyDescent="0.25">
      <c r="A233" s="5"/>
    </row>
    <row r="234" spans="1:1" s="7" customFormat="1" x14ac:dyDescent="0.25">
      <c r="A234" s="5"/>
    </row>
    <row r="235" spans="1:1" s="7" customFormat="1" x14ac:dyDescent="0.25">
      <c r="A235" s="5"/>
    </row>
    <row r="236" spans="1:1" s="7" customFormat="1" x14ac:dyDescent="0.25">
      <c r="A236" s="5"/>
    </row>
    <row r="237" spans="1:1" s="7" customFormat="1" x14ac:dyDescent="0.25">
      <c r="A237" s="5"/>
    </row>
    <row r="238" spans="1:1" s="7" customFormat="1" x14ac:dyDescent="0.25">
      <c r="A238" s="5"/>
    </row>
    <row r="239" spans="1:1" s="7" customFormat="1" x14ac:dyDescent="0.25">
      <c r="A239" s="5"/>
    </row>
    <row r="240" spans="1:1" s="7" customFormat="1" x14ac:dyDescent="0.25">
      <c r="A240" s="5"/>
    </row>
    <row r="241" spans="1:1" s="7" customFormat="1" x14ac:dyDescent="0.25">
      <c r="A241" s="5"/>
    </row>
    <row r="242" spans="1:1" s="7" customFormat="1" x14ac:dyDescent="0.25">
      <c r="A242" s="5"/>
    </row>
    <row r="243" spans="1:1" s="7" customFormat="1" x14ac:dyDescent="0.25">
      <c r="A243" s="5"/>
    </row>
    <row r="244" spans="1:1" s="7" customFormat="1" x14ac:dyDescent="0.25">
      <c r="A244" s="5"/>
    </row>
    <row r="245" spans="1:1" s="7" customFormat="1" x14ac:dyDescent="0.25">
      <c r="A245" s="5"/>
    </row>
    <row r="246" spans="1:1" s="7" customFormat="1" x14ac:dyDescent="0.25">
      <c r="A246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Davi Gervazio</cp:lastModifiedBy>
  <dcterms:created xsi:type="dcterms:W3CDTF">2024-12-19T13:13:10Z</dcterms:created>
  <dcterms:modified xsi:type="dcterms:W3CDTF">2025-11-21T22:13:04Z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